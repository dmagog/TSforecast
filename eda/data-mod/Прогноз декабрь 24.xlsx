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nikov\Desktop\"/>
    </mc:Choice>
  </mc:AlternateContent>
  <bookViews>
    <workbookView xWindow="0" yWindow="0" windowWidth="20895" windowHeight="6105"/>
  </bookViews>
  <sheets>
    <sheet name="Sheet1" sheetId="1" r:id="rId1"/>
  </sheets>
  <definedNames>
    <definedName name="_xlnm._FilterDatabase" localSheetId="0" hidden="1">Sheet1!$A$1:$F$57</definedName>
  </definedNames>
  <calcPr calcId="162913"/>
</workbook>
</file>

<file path=xl/calcChain.xml><?xml version="1.0" encoding="utf-8"?>
<calcChain xmlns="http://schemas.openxmlformats.org/spreadsheetml/2006/main">
  <c r="F6" i="1" l="1"/>
  <c r="F3" i="1" l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  <c r="F33" i="1" l="1"/>
  <c r="F57" i="1" l="1"/>
</calcChain>
</file>

<file path=xl/sharedStrings.xml><?xml version="1.0" encoding="utf-8"?>
<sst xmlns="http://schemas.openxmlformats.org/spreadsheetml/2006/main" count="7" uniqueCount="7">
  <si>
    <t>#</t>
  </si>
  <si>
    <t>lower</t>
  </si>
  <si>
    <t>upper</t>
  </si>
  <si>
    <t xml:space="preserve">факт </t>
  </si>
  <si>
    <t>Итого</t>
  </si>
  <si>
    <t>Прогноз</t>
  </si>
  <si>
    <t>Отклонение прогноза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</si>
</sst>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6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NumberFormat="1" applyBorder="1" applyAlignment="1">
      <alignment horizontal="left" vertical="top"/>
    </xf>
    <xf numFmtId="43" fontId="0" fillId="0" borderId="1" xfId="1" applyFont="1" applyBorder="1"/>
    <xf numFmtId="43" fontId="0" fillId="2" borderId="1" xfId="1" applyFont="1" applyFill="1" applyBorder="1"/>
    <xf numFmtId="43" fontId="0" fillId="0" borderId="1" xfId="0" applyNumberFormat="1" applyBorder="1"/>
    <xf numFmtId="166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H18" sqref="H18"/>
    </sheetView>
  </sheetViews>
  <sheetFormatPr defaultColWidth="8.85546875" defaultRowHeight="15" x14ac:dyDescent="0.25"/>
  <cols>
    <col min="2" max="2" width="17.5703125" bestFit="1" customWidth="1"/>
    <col min="3" max="3" width="17" customWidth="1"/>
    <col min="4" max="4" width="19.85546875" customWidth="1"/>
    <col min="5" max="5" width="18.85546875" customWidth="1"/>
    <col min="6" max="6" width="25.5703125" customWidth="1"/>
    <col min="8" max="8" width="16.5703125" bestFit="1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2</v>
      </c>
      <c r="E1" s="4" t="s">
        <v>3</v>
      </c>
      <c r="F1" s="4" t="s">
        <v>6</v>
      </c>
      <c r="G1" s="2"/>
    </row>
    <row r="2" spans="1:8" x14ac:dyDescent="0.25">
      <c r="A2" s="5">
        <v>201</v>
      </c>
      <c r="B2" s="6">
        <v>144172498.859</v>
      </c>
      <c r="C2" s="3">
        <v>117998550.16060001</v>
      </c>
      <c r="D2" s="3">
        <v>170346447.5575</v>
      </c>
      <c r="E2" s="6">
        <v>185585525.61999992</v>
      </c>
      <c r="F2" s="6">
        <f>B2/E2-1</f>
        <v>-0.22314793474678707</v>
      </c>
      <c r="H2" s="9"/>
    </row>
    <row r="3" spans="1:8" x14ac:dyDescent="0.25">
      <c r="A3" s="5">
        <v>301</v>
      </c>
      <c r="B3" s="6">
        <v>211458867.46509999</v>
      </c>
      <c r="C3" s="3">
        <v>159477785.32769999</v>
      </c>
      <c r="D3" s="3">
        <v>263439949.60249999</v>
      </c>
      <c r="E3" s="6">
        <v>270709666.31</v>
      </c>
      <c r="F3" s="6">
        <f t="shared" ref="F3:F56" si="0">B3/E3-1</f>
        <v>-0.21887212101635722</v>
      </c>
    </row>
    <row r="4" spans="1:8" x14ac:dyDescent="0.25">
      <c r="A4" s="5">
        <v>401</v>
      </c>
      <c r="B4" s="6">
        <v>162518160.88909999</v>
      </c>
      <c r="C4" s="3">
        <v>132881374.3813</v>
      </c>
      <c r="D4" s="3">
        <v>192154947.3969</v>
      </c>
      <c r="E4" s="6">
        <v>202136468.54000008</v>
      </c>
      <c r="F4" s="6">
        <f t="shared" si="0"/>
        <v>-0.19599782234772822</v>
      </c>
    </row>
    <row r="5" spans="1:8" x14ac:dyDescent="0.25">
      <c r="A5" s="5">
        <v>501</v>
      </c>
      <c r="B5" s="6">
        <v>291153962.60680002</v>
      </c>
      <c r="C5" s="3">
        <v>212053476.40009999</v>
      </c>
      <c r="D5" s="3">
        <v>370254448.8136</v>
      </c>
      <c r="E5" s="6">
        <v>288001077.33000004</v>
      </c>
      <c r="F5" s="7">
        <f t="shared" si="0"/>
        <v>1.0947477370674141E-2</v>
      </c>
    </row>
    <row r="6" spans="1:8" x14ac:dyDescent="0.25">
      <c r="A6" s="5">
        <v>601</v>
      </c>
      <c r="B6" s="6">
        <v>254612161.64480001</v>
      </c>
      <c r="C6" s="3">
        <v>179569276.20089999</v>
      </c>
      <c r="D6" s="3">
        <v>329655047.08859998</v>
      </c>
      <c r="E6" s="6">
        <v>228705734.91999996</v>
      </c>
      <c r="F6" s="7">
        <f t="shared" si="0"/>
        <v>0.11327405818600034</v>
      </c>
      <c r="H6" s="9"/>
    </row>
    <row r="7" spans="1:8" x14ac:dyDescent="0.25">
      <c r="A7" s="5">
        <v>701</v>
      </c>
      <c r="B7" s="6">
        <v>129388256.57889999</v>
      </c>
      <c r="C7" s="3">
        <v>97367450.042799994</v>
      </c>
      <c r="D7" s="3">
        <v>161409063.11500001</v>
      </c>
      <c r="E7" s="6">
        <v>180083377.31999999</v>
      </c>
      <c r="F7" s="6">
        <f t="shared" si="0"/>
        <v>-0.28150916256427749</v>
      </c>
    </row>
    <row r="8" spans="1:8" x14ac:dyDescent="0.25">
      <c r="A8" s="5">
        <v>801</v>
      </c>
      <c r="B8" s="6">
        <v>3307652.9197999998</v>
      </c>
      <c r="C8" s="3">
        <v>892356.11970000004</v>
      </c>
      <c r="D8" s="3">
        <v>5722949.7199999997</v>
      </c>
      <c r="E8" s="6">
        <v>7846900</v>
      </c>
      <c r="F8" s="6">
        <f t="shared" si="0"/>
        <v>-0.57847647863487495</v>
      </c>
    </row>
    <row r="9" spans="1:8" x14ac:dyDescent="0.25">
      <c r="A9" s="5">
        <v>802</v>
      </c>
      <c r="B9" s="6">
        <v>1261632673.924</v>
      </c>
      <c r="C9" s="3">
        <v>1055042443.0612</v>
      </c>
      <c r="D9" s="3">
        <v>1468222904.7867999</v>
      </c>
      <c r="E9" s="6">
        <v>1319479032.8699996</v>
      </c>
      <c r="F9" s="7">
        <f t="shared" si="0"/>
        <v>-4.384030174407394E-2</v>
      </c>
    </row>
    <row r="10" spans="1:8" x14ac:dyDescent="0.25">
      <c r="A10" s="5">
        <v>803</v>
      </c>
      <c r="B10" s="6">
        <v>459687398.8161</v>
      </c>
      <c r="C10" s="3">
        <v>354699936.63489997</v>
      </c>
      <c r="D10" s="3">
        <v>564674860.99730003</v>
      </c>
      <c r="E10" s="6">
        <v>453782140.01000029</v>
      </c>
      <c r="F10" s="7">
        <f t="shared" si="0"/>
        <v>1.301342270978223E-2</v>
      </c>
    </row>
    <row r="11" spans="1:8" x14ac:dyDescent="0.25">
      <c r="A11" s="5">
        <v>804</v>
      </c>
      <c r="B11" s="6">
        <v>309690779.3739</v>
      </c>
      <c r="C11" s="3">
        <v>60685237.354000002</v>
      </c>
      <c r="D11" s="3">
        <v>558696321.39380002</v>
      </c>
      <c r="E11" s="6">
        <v>350615466.11000013</v>
      </c>
      <c r="F11" s="7">
        <f t="shared" si="0"/>
        <v>-0.11672242297280933</v>
      </c>
    </row>
    <row r="12" spans="1:8" x14ac:dyDescent="0.25">
      <c r="A12" s="5">
        <v>805</v>
      </c>
      <c r="B12" s="6">
        <v>1909793.2483999999</v>
      </c>
      <c r="C12" s="3"/>
      <c r="D12" s="3"/>
      <c r="E12" s="6">
        <v>1281620</v>
      </c>
      <c r="F12" s="6">
        <f t="shared" si="0"/>
        <v>0.49014001685366959</v>
      </c>
    </row>
    <row r="13" spans="1:8" x14ac:dyDescent="0.25">
      <c r="A13" s="5">
        <v>813</v>
      </c>
      <c r="B13" s="6">
        <v>167154936.54539999</v>
      </c>
      <c r="C13" s="3">
        <v>111025319.2889</v>
      </c>
      <c r="D13" s="3">
        <v>223284553.80180001</v>
      </c>
      <c r="E13" s="6">
        <v>243033571.03000006</v>
      </c>
      <c r="F13" s="6">
        <f t="shared" si="0"/>
        <v>-0.31221462188544158</v>
      </c>
    </row>
    <row r="14" spans="1:8" x14ac:dyDescent="0.25">
      <c r="A14" s="5">
        <v>1001</v>
      </c>
      <c r="B14" s="6">
        <v>187221696.99419999</v>
      </c>
      <c r="C14" s="3">
        <v>137766353.51210001</v>
      </c>
      <c r="D14" s="3">
        <v>236677040.47639999</v>
      </c>
      <c r="E14" s="6">
        <v>207219648.92000011</v>
      </c>
      <c r="F14" s="7">
        <f t="shared" si="0"/>
        <v>-9.6506060260340365E-2</v>
      </c>
    </row>
    <row r="15" spans="1:8" x14ac:dyDescent="0.25">
      <c r="A15" s="5">
        <v>1101</v>
      </c>
      <c r="B15" s="6">
        <v>512479275.10369998</v>
      </c>
      <c r="C15" s="3">
        <v>413895389.13559997</v>
      </c>
      <c r="D15" s="3">
        <v>611063161.07190001</v>
      </c>
      <c r="E15" s="6">
        <v>526124796.44000053</v>
      </c>
      <c r="F15" s="7">
        <f t="shared" si="0"/>
        <v>-2.5935902334640715E-2</v>
      </c>
    </row>
    <row r="16" spans="1:8" x14ac:dyDescent="0.25">
      <c r="A16" s="5">
        <v>1201</v>
      </c>
      <c r="B16" s="6">
        <v>90712885.307099998</v>
      </c>
      <c r="C16" s="3">
        <v>75733457.949100003</v>
      </c>
      <c r="D16" s="3">
        <v>105692312.6652</v>
      </c>
      <c r="E16" s="6">
        <v>115508662.44999999</v>
      </c>
      <c r="F16" s="6">
        <f t="shared" si="0"/>
        <v>-0.21466595333171046</v>
      </c>
    </row>
    <row r="17" spans="1:6" x14ac:dyDescent="0.25">
      <c r="A17" s="5">
        <v>1301</v>
      </c>
      <c r="B17" s="6">
        <v>240250556.04769999</v>
      </c>
      <c r="C17" s="3">
        <v>198635126.4014</v>
      </c>
      <c r="D17" s="3">
        <v>281865985.69400001</v>
      </c>
      <c r="E17" s="6">
        <v>346202964.92000002</v>
      </c>
      <c r="F17" s="6">
        <f t="shared" si="0"/>
        <v>-0.30604130989110201</v>
      </c>
    </row>
    <row r="18" spans="1:6" x14ac:dyDescent="0.25">
      <c r="A18" s="5">
        <v>1401</v>
      </c>
      <c r="B18" s="6">
        <v>316309539.21640003</v>
      </c>
      <c r="C18" s="3">
        <v>248979038.30599999</v>
      </c>
      <c r="D18" s="3">
        <v>383640040.12690002</v>
      </c>
      <c r="E18" s="6">
        <v>378296673.63</v>
      </c>
      <c r="F18" s="6">
        <f t="shared" si="0"/>
        <v>-0.16385852357302944</v>
      </c>
    </row>
    <row r="19" spans="1:6" x14ac:dyDescent="0.25">
      <c r="A19" s="5">
        <v>1501</v>
      </c>
      <c r="B19" s="6">
        <v>408316472.76499999</v>
      </c>
      <c r="C19" s="3">
        <v>311230930.4077</v>
      </c>
      <c r="D19" s="3">
        <v>505402015.12220001</v>
      </c>
      <c r="E19" s="6">
        <v>517695039.9800002</v>
      </c>
      <c r="F19" s="6">
        <f t="shared" si="0"/>
        <v>-0.2112799211273606</v>
      </c>
    </row>
    <row r="20" spans="1:6" x14ac:dyDescent="0.25">
      <c r="A20" s="5">
        <v>1601</v>
      </c>
      <c r="B20" s="6">
        <v>88536526.322099999</v>
      </c>
      <c r="C20" s="3">
        <v>70726013.388300002</v>
      </c>
      <c r="D20" s="3">
        <v>106347039.256</v>
      </c>
      <c r="E20" s="6">
        <v>116904911.77999999</v>
      </c>
      <c r="F20" s="6">
        <f t="shared" si="0"/>
        <v>-0.24266204923267587</v>
      </c>
    </row>
    <row r="21" spans="1:6" x14ac:dyDescent="0.25">
      <c r="A21" s="5">
        <v>1801</v>
      </c>
      <c r="B21" s="6">
        <v>125182528.84649999</v>
      </c>
      <c r="C21" s="3">
        <v>106280630.1734</v>
      </c>
      <c r="D21" s="3">
        <v>144084427.51969999</v>
      </c>
      <c r="E21" s="6">
        <v>123504348.47999997</v>
      </c>
      <c r="F21" s="7">
        <f t="shared" si="0"/>
        <v>1.3588026552536991E-2</v>
      </c>
    </row>
    <row r="22" spans="1:6" x14ac:dyDescent="0.25">
      <c r="A22" s="5">
        <v>2001</v>
      </c>
      <c r="B22" s="6">
        <v>99624789.103300005</v>
      </c>
      <c r="C22" s="3"/>
      <c r="D22" s="3"/>
      <c r="E22" s="6">
        <v>91660166.170000017</v>
      </c>
      <c r="F22" s="7">
        <f t="shared" si="0"/>
        <v>8.6892957607431986E-2</v>
      </c>
    </row>
    <row r="23" spans="1:6" x14ac:dyDescent="0.25">
      <c r="A23" s="5">
        <v>2101</v>
      </c>
      <c r="B23" s="6">
        <v>237854188.57749999</v>
      </c>
      <c r="C23" s="3">
        <v>168376055.48649999</v>
      </c>
      <c r="D23" s="3">
        <v>307332321.66839999</v>
      </c>
      <c r="E23" s="6">
        <v>274826128.07999992</v>
      </c>
      <c r="F23" s="7">
        <f t="shared" si="0"/>
        <v>-0.13452847355087605</v>
      </c>
    </row>
    <row r="24" spans="1:6" x14ac:dyDescent="0.25">
      <c r="A24" s="5">
        <v>2201</v>
      </c>
      <c r="B24" s="6">
        <v>116147599.3188</v>
      </c>
      <c r="C24" s="3">
        <v>89972800.958100006</v>
      </c>
      <c r="D24" s="3">
        <v>142322397.6794</v>
      </c>
      <c r="E24" s="6">
        <v>122599417.95999999</v>
      </c>
      <c r="F24" s="7">
        <f t="shared" si="0"/>
        <v>-5.2625197970393334E-2</v>
      </c>
    </row>
    <row r="25" spans="1:6" x14ac:dyDescent="0.25">
      <c r="A25" s="5">
        <v>2401</v>
      </c>
      <c r="B25" s="6">
        <v>420966264.14160001</v>
      </c>
      <c r="C25" s="3">
        <v>344409490.78399998</v>
      </c>
      <c r="D25" s="3">
        <v>497523037.49919999</v>
      </c>
      <c r="E25" s="6">
        <v>435337701.78000003</v>
      </c>
      <c r="F25" s="7">
        <f t="shared" si="0"/>
        <v>-3.3012159479039793E-2</v>
      </c>
    </row>
    <row r="26" spans="1:6" x14ac:dyDescent="0.25">
      <c r="A26" s="5">
        <v>2601</v>
      </c>
      <c r="B26" s="6">
        <v>237406056.5984</v>
      </c>
      <c r="C26" s="3">
        <v>189404471.70140001</v>
      </c>
      <c r="D26" s="3">
        <v>285407641.49550003</v>
      </c>
      <c r="E26" s="6">
        <v>281644959.00000006</v>
      </c>
      <c r="F26" s="6">
        <f t="shared" si="0"/>
        <v>-0.15707329738360432</v>
      </c>
    </row>
    <row r="27" spans="1:6" x14ac:dyDescent="0.25">
      <c r="A27" s="5">
        <v>2701</v>
      </c>
      <c r="B27" s="6">
        <v>180267953.8177</v>
      </c>
      <c r="C27" s="3">
        <v>148301385.8407</v>
      </c>
      <c r="D27" s="3">
        <v>212234521.7947</v>
      </c>
      <c r="E27" s="6">
        <v>217983052.73000008</v>
      </c>
      <c r="F27" s="6">
        <f t="shared" si="0"/>
        <v>-0.17301849129994096</v>
      </c>
    </row>
    <row r="28" spans="1:6" x14ac:dyDescent="0.25">
      <c r="A28" s="5">
        <v>2901</v>
      </c>
      <c r="B28" s="6">
        <v>354366536.05330002</v>
      </c>
      <c r="C28" s="3">
        <v>303440510.8373</v>
      </c>
      <c r="D28" s="3">
        <v>405292561.26929998</v>
      </c>
      <c r="E28" s="6">
        <v>464128203.86000001</v>
      </c>
      <c r="F28" s="6">
        <f t="shared" si="0"/>
        <v>-0.23648997603215804</v>
      </c>
    </row>
    <row r="29" spans="1:6" x14ac:dyDescent="0.25">
      <c r="A29" s="5">
        <v>3001</v>
      </c>
      <c r="B29" s="6">
        <v>327253734.39450002</v>
      </c>
      <c r="C29" s="3">
        <v>270866145.33600003</v>
      </c>
      <c r="D29" s="3">
        <v>383641323.45289999</v>
      </c>
      <c r="E29" s="6">
        <v>375072109.63</v>
      </c>
      <c r="F29" s="7">
        <f t="shared" si="0"/>
        <v>-0.12749115172192271</v>
      </c>
    </row>
    <row r="30" spans="1:6" x14ac:dyDescent="0.25">
      <c r="A30" s="5">
        <v>3101</v>
      </c>
      <c r="B30" s="6">
        <v>504567597.04250002</v>
      </c>
      <c r="C30" s="3">
        <v>426540900.64289999</v>
      </c>
      <c r="D30" s="3">
        <v>582594293.44210005</v>
      </c>
      <c r="E30" s="6">
        <v>601091367.07999969</v>
      </c>
      <c r="F30" s="6">
        <f t="shared" si="0"/>
        <v>-0.1605808622845406</v>
      </c>
    </row>
    <row r="31" spans="1:6" x14ac:dyDescent="0.25">
      <c r="A31" s="5">
        <v>3201</v>
      </c>
      <c r="B31" s="6">
        <v>1261671445.2160001</v>
      </c>
      <c r="C31" s="3">
        <v>1095223088.9238999</v>
      </c>
      <c r="D31" s="3">
        <v>1428119801.5079999</v>
      </c>
      <c r="E31" s="6">
        <v>1120583234.5200002</v>
      </c>
      <c r="F31" s="7">
        <f t="shared" si="0"/>
        <v>0.12590605173245772</v>
      </c>
    </row>
    <row r="32" spans="1:6" x14ac:dyDescent="0.25">
      <c r="A32" s="5">
        <v>3301</v>
      </c>
      <c r="B32" s="6">
        <v>154152707.94729999</v>
      </c>
      <c r="C32" s="3">
        <v>123456786.1433</v>
      </c>
      <c r="D32" s="3">
        <v>184848629.75119999</v>
      </c>
      <c r="E32" s="6">
        <v>203829055.29000005</v>
      </c>
      <c r="F32" s="6">
        <f t="shared" si="0"/>
        <v>-0.24371573165573712</v>
      </c>
    </row>
    <row r="33" spans="1:6" x14ac:dyDescent="0.25">
      <c r="A33" s="5">
        <v>3401</v>
      </c>
      <c r="B33" s="6">
        <v>147016498.85370001</v>
      </c>
      <c r="C33" s="3">
        <v>100345163.9844</v>
      </c>
      <c r="D33" s="3">
        <v>193687833.7229</v>
      </c>
      <c r="E33" s="6">
        <v>228511801.87999994</v>
      </c>
      <c r="F33" s="6">
        <f t="shared" si="0"/>
        <v>-0.35663498495844059</v>
      </c>
    </row>
    <row r="34" spans="1:6" x14ac:dyDescent="0.25">
      <c r="A34" s="5">
        <v>3501</v>
      </c>
      <c r="B34" s="6">
        <v>91273371.276299998</v>
      </c>
      <c r="C34" s="3">
        <v>51751756.955899999</v>
      </c>
      <c r="D34" s="3">
        <v>130794985.5966</v>
      </c>
      <c r="E34" s="6">
        <v>70188061.790000021</v>
      </c>
      <c r="F34" s="6">
        <f t="shared" si="0"/>
        <v>0.30041162198475302</v>
      </c>
    </row>
    <row r="35" spans="1:6" x14ac:dyDescent="0.25">
      <c r="A35" s="5">
        <v>3701</v>
      </c>
      <c r="B35" s="6">
        <v>302036302.94940001</v>
      </c>
      <c r="C35" s="3">
        <v>218752113.4057</v>
      </c>
      <c r="D35" s="3">
        <v>385320492.4932</v>
      </c>
      <c r="E35" s="6">
        <v>257918913.55999985</v>
      </c>
      <c r="F35" s="6">
        <f t="shared" si="0"/>
        <v>0.17105139278255033</v>
      </c>
    </row>
    <row r="36" spans="1:6" x14ac:dyDescent="0.25">
      <c r="A36" s="5">
        <v>3801</v>
      </c>
      <c r="B36" s="6">
        <v>33268430.59</v>
      </c>
      <c r="C36" s="3">
        <v>13550354.465700001</v>
      </c>
      <c r="D36" s="3">
        <v>52986506.714299999</v>
      </c>
      <c r="E36" s="6">
        <v>47006921.349999972</v>
      </c>
      <c r="F36" s="6">
        <f t="shared" si="0"/>
        <v>-0.29226527424987347</v>
      </c>
    </row>
    <row r="37" spans="1:6" x14ac:dyDescent="0.25">
      <c r="A37" s="5">
        <v>3901</v>
      </c>
      <c r="B37" s="6">
        <v>90564313.946500003</v>
      </c>
      <c r="C37" s="3">
        <v>66061956.173199996</v>
      </c>
      <c r="D37" s="3">
        <v>115066671.71969999</v>
      </c>
      <c r="E37" s="6">
        <v>124130614.87000003</v>
      </c>
      <c r="F37" s="6">
        <f t="shared" si="0"/>
        <v>-0.27041113877228007</v>
      </c>
    </row>
    <row r="38" spans="1:6" x14ac:dyDescent="0.25">
      <c r="A38" s="5">
        <v>4001</v>
      </c>
      <c r="B38" s="6">
        <v>661765285.23000002</v>
      </c>
      <c r="C38" s="3">
        <v>550541153.49469995</v>
      </c>
      <c r="D38" s="3">
        <v>772989416.96519995</v>
      </c>
      <c r="E38" s="6">
        <v>760793142.60000086</v>
      </c>
      <c r="F38" s="7">
        <f t="shared" si="0"/>
        <v>-0.13016397207731711</v>
      </c>
    </row>
    <row r="39" spans="1:6" x14ac:dyDescent="0.25">
      <c r="A39" s="5">
        <v>4101</v>
      </c>
      <c r="B39" s="6">
        <v>16390571.777100001</v>
      </c>
      <c r="C39" s="3"/>
      <c r="D39" s="3"/>
      <c r="E39" s="6">
        <v>33189777.580000013</v>
      </c>
      <c r="F39" s="6">
        <f t="shared" si="0"/>
        <v>-0.50615602235982227</v>
      </c>
    </row>
    <row r="40" spans="1:6" x14ac:dyDescent="0.25">
      <c r="A40" s="5">
        <v>4201</v>
      </c>
      <c r="B40" s="6">
        <v>386819543.84549999</v>
      </c>
      <c r="C40" s="3">
        <v>304704284.1207</v>
      </c>
      <c r="D40" s="3">
        <v>468934803.57029998</v>
      </c>
      <c r="E40" s="6">
        <v>509478146.6499998</v>
      </c>
      <c r="F40" s="6">
        <f t="shared" si="0"/>
        <v>-0.24075341329362954</v>
      </c>
    </row>
    <row r="41" spans="1:6" x14ac:dyDescent="0.25">
      <c r="A41" s="5">
        <v>4301</v>
      </c>
      <c r="B41" s="6">
        <v>20804708.5189</v>
      </c>
      <c r="C41" s="3"/>
      <c r="D41" s="3"/>
      <c r="E41" s="6">
        <v>13652973.619999999</v>
      </c>
      <c r="F41" s="6">
        <f t="shared" si="0"/>
        <v>0.52382250914361617</v>
      </c>
    </row>
    <row r="42" spans="1:6" x14ac:dyDescent="0.25">
      <c r="A42" s="5">
        <v>4401</v>
      </c>
      <c r="B42" s="6">
        <v>319453798.42079997</v>
      </c>
      <c r="C42" s="3">
        <v>141507266.36559999</v>
      </c>
      <c r="D42" s="3">
        <v>497400330.47610003</v>
      </c>
      <c r="E42" s="6">
        <v>423746548.04000002</v>
      </c>
      <c r="F42" s="6">
        <f t="shared" si="0"/>
        <v>-0.2461205881241898</v>
      </c>
    </row>
    <row r="43" spans="1:6" x14ac:dyDescent="0.25">
      <c r="A43" s="5">
        <v>4501</v>
      </c>
      <c r="B43" s="6">
        <v>692456246.06110001</v>
      </c>
      <c r="C43" s="3">
        <v>611525602.48839998</v>
      </c>
      <c r="D43" s="3">
        <v>773386889.63370001</v>
      </c>
      <c r="E43" s="6">
        <v>779940227.42000043</v>
      </c>
      <c r="F43" s="7">
        <f t="shared" si="0"/>
        <v>-0.11216754602887025</v>
      </c>
    </row>
    <row r="44" spans="1:6" x14ac:dyDescent="0.25">
      <c r="A44" s="5">
        <v>4701</v>
      </c>
      <c r="B44" s="6">
        <v>412536886.5772</v>
      </c>
      <c r="C44" s="3">
        <v>299596998.90700001</v>
      </c>
      <c r="D44" s="3">
        <v>525476774.24730003</v>
      </c>
      <c r="E44" s="6">
        <v>282338465.91999996</v>
      </c>
      <c r="F44" s="6">
        <f t="shared" si="0"/>
        <v>0.46114304769967651</v>
      </c>
    </row>
    <row r="45" spans="1:6" x14ac:dyDescent="0.25">
      <c r="A45" s="5">
        <v>6402</v>
      </c>
      <c r="B45" s="6">
        <v>127794032.6321</v>
      </c>
      <c r="C45" s="3">
        <v>95926779.301699996</v>
      </c>
      <c r="D45" s="3">
        <v>159661285.96259999</v>
      </c>
      <c r="E45" s="6">
        <v>123746216.37999994</v>
      </c>
      <c r="F45" s="7">
        <f t="shared" si="0"/>
        <v>3.271062639741662E-2</v>
      </c>
    </row>
    <row r="46" spans="1:6" x14ac:dyDescent="0.25">
      <c r="A46" s="5">
        <v>6501</v>
      </c>
      <c r="B46" s="6">
        <v>140738556.56619999</v>
      </c>
      <c r="C46" s="3">
        <v>107835724.75030001</v>
      </c>
      <c r="D46" s="3">
        <v>173641388.3822</v>
      </c>
      <c r="E46" s="6">
        <v>177223077.54999992</v>
      </c>
      <c r="F46" s="6">
        <f t="shared" si="0"/>
        <v>-0.20586777686165936</v>
      </c>
    </row>
    <row r="47" spans="1:6" x14ac:dyDescent="0.25">
      <c r="A47" s="5">
        <v>6801</v>
      </c>
      <c r="B47" s="6">
        <v>111117801.4162</v>
      </c>
      <c r="C47" s="3"/>
      <c r="D47" s="3"/>
      <c r="E47" s="6">
        <v>63952294.060000002</v>
      </c>
      <c r="F47" s="6">
        <f t="shared" si="0"/>
        <v>0.73751079690666521</v>
      </c>
    </row>
    <row r="48" spans="1:6" x14ac:dyDescent="0.25">
      <c r="A48" s="5">
        <v>7001</v>
      </c>
      <c r="B48" s="6">
        <v>219412497.10429999</v>
      </c>
      <c r="C48" s="3">
        <v>172003272.41940001</v>
      </c>
      <c r="D48" s="3">
        <v>266821721.78909999</v>
      </c>
      <c r="E48" s="6">
        <v>277770548.88999999</v>
      </c>
      <c r="F48" s="6">
        <f t="shared" si="0"/>
        <v>-0.21009445392574855</v>
      </c>
    </row>
    <row r="49" spans="1:6" x14ac:dyDescent="0.25">
      <c r="A49" s="5">
        <v>7101</v>
      </c>
      <c r="B49" s="6">
        <v>39006939.827399999</v>
      </c>
      <c r="C49" s="3">
        <v>27883708.7577</v>
      </c>
      <c r="D49" s="3">
        <v>50130170.897</v>
      </c>
      <c r="E49" s="6">
        <v>47871609.449999996</v>
      </c>
      <c r="F49" s="6">
        <f t="shared" si="0"/>
        <v>-0.18517592628379864</v>
      </c>
    </row>
    <row r="50" spans="1:6" x14ac:dyDescent="0.25">
      <c r="A50" s="5">
        <v>7201</v>
      </c>
      <c r="B50" s="6">
        <v>126289728.37369999</v>
      </c>
      <c r="C50" s="3">
        <v>92111401.744499996</v>
      </c>
      <c r="D50" s="3">
        <v>160468055.0029</v>
      </c>
      <c r="E50" s="6">
        <v>99398739.460000038</v>
      </c>
      <c r="F50" s="6">
        <f t="shared" si="0"/>
        <v>0.27053651846884241</v>
      </c>
    </row>
    <row r="51" spans="1:6" x14ac:dyDescent="0.25">
      <c r="A51" s="5">
        <v>7301</v>
      </c>
      <c r="B51" s="6">
        <v>117311627.4004</v>
      </c>
      <c r="C51" s="3">
        <v>95433650.211400002</v>
      </c>
      <c r="D51" s="3">
        <v>139189604.58930001</v>
      </c>
      <c r="E51" s="6">
        <v>131517542.53</v>
      </c>
      <c r="F51" s="7">
        <f t="shared" si="0"/>
        <v>-0.10801536324600602</v>
      </c>
    </row>
    <row r="52" spans="1:6" x14ac:dyDescent="0.25">
      <c r="A52" s="5">
        <v>7401</v>
      </c>
      <c r="B52" s="6">
        <v>138195731.6331</v>
      </c>
      <c r="C52" s="3">
        <v>84254324.318000004</v>
      </c>
      <c r="D52" s="3">
        <v>192137138.94819999</v>
      </c>
      <c r="E52" s="6">
        <v>144561004</v>
      </c>
      <c r="F52" s="7">
        <f t="shared" si="0"/>
        <v>-4.4031738786899921E-2</v>
      </c>
    </row>
    <row r="53" spans="1:6" x14ac:dyDescent="0.25">
      <c r="A53" s="5">
        <v>7501</v>
      </c>
      <c r="B53" s="6">
        <v>179621276.69710001</v>
      </c>
      <c r="C53" s="3">
        <v>147254638.78150001</v>
      </c>
      <c r="D53" s="3">
        <v>211987914.6128</v>
      </c>
      <c r="E53" s="6">
        <v>158127214.93000001</v>
      </c>
      <c r="F53" s="7">
        <f t="shared" si="0"/>
        <v>0.13592892138532275</v>
      </c>
    </row>
    <row r="54" spans="1:6" x14ac:dyDescent="0.25">
      <c r="A54" s="5">
        <v>7601</v>
      </c>
      <c r="B54" s="6">
        <v>79682160.332000002</v>
      </c>
      <c r="C54" s="3">
        <v>56990057.6281</v>
      </c>
      <c r="D54" s="3">
        <v>102374263.036</v>
      </c>
      <c r="E54" s="6">
        <v>88215219.190000013</v>
      </c>
      <c r="F54" s="7">
        <f t="shared" si="0"/>
        <v>-9.6730008000335044E-2</v>
      </c>
    </row>
    <row r="55" spans="1:6" x14ac:dyDescent="0.25">
      <c r="A55" s="5">
        <v>7801</v>
      </c>
      <c r="B55" s="6">
        <v>150854400.35569999</v>
      </c>
      <c r="C55" s="3">
        <v>124583496.3646</v>
      </c>
      <c r="D55" s="3">
        <v>177125304.34670001</v>
      </c>
      <c r="E55" s="6">
        <v>180509519.34000003</v>
      </c>
      <c r="F55" s="6">
        <f t="shared" si="0"/>
        <v>-0.16428562378720279</v>
      </c>
    </row>
    <row r="56" spans="1:6" x14ac:dyDescent="0.25">
      <c r="A56" s="5">
        <v>8201</v>
      </c>
      <c r="B56" s="6">
        <v>65687168.682999998</v>
      </c>
      <c r="C56" s="3">
        <v>50088028.786499999</v>
      </c>
      <c r="D56" s="3">
        <v>81286308.579500005</v>
      </c>
      <c r="E56" s="6">
        <v>65957165.900000013</v>
      </c>
      <c r="F56" s="7">
        <f t="shared" si="0"/>
        <v>-4.0935236272791053E-3</v>
      </c>
    </row>
    <row r="57" spans="1:6" x14ac:dyDescent="0.25">
      <c r="A57" s="3" t="s">
        <v>4</v>
      </c>
      <c r="B57" s="8">
        <v>13930073374.7526</v>
      </c>
      <c r="C57" s="8">
        <v>10617633514.324797</v>
      </c>
      <c r="D57" s="8">
        <v>16742817907.052401</v>
      </c>
      <c r="E57" s="8">
        <v>15341218769.720003</v>
      </c>
      <c r="F57" s="7">
        <f>B57/E57-1</f>
        <v>-9.1983917063530596E-2</v>
      </c>
    </row>
  </sheetData>
  <autoFilter ref="A1:F57">
    <sortState ref="A2:I57">
      <sortCondition ref="A1:A57"/>
    </sortState>
  </autoFilter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Сальников Глеб Владимирович</cp:lastModifiedBy>
  <dcterms:created xsi:type="dcterms:W3CDTF">2025-02-20T13:05:11Z</dcterms:created>
  <dcterms:modified xsi:type="dcterms:W3CDTF">2025-02-21T07:00:09Z</dcterms:modified>
</cp:coreProperties>
</file>
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eorgijmamarin/Desktop/spk_forecast/result/"/>
    </mc:Choice>
  </mc:AlternateContent>
  <xr:revisionPtr revIDLastSave="0" documentId="13_ncr:1_{576253AB-1031-D84B-8B7C-0635514B65DA}" xr6:coauthVersionLast="47" xr6:coauthVersionMax="47" xr10:uidLastSave="{00000000-0000-0000-0000-000000000000}"/>
  <bookViews>
    <workbookView xWindow="0" yWindow="500" windowWidth="33600" windowHeight="19200" xr2:uid="{00000000-000D-0000-FFFF-FFFF00000000}"/>
  </bookViews>
  <sheets>
    <sheet name="Sheet1" sheetId="1" r:id="rId1"/>
  </sheets>
  <definedNames>
    <definedName name="_xlnm._FilterDatabase" localSheetId="0" hidden="1">Sheet1!$A$2:$R$58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3" i="1"/>
  <c r="J58" i="1" l="1"/>
  <c r="P58" i="1"/>
</calcChain>
</file>

<file path=xl/sharedStrings.xml><?xml version="1.0" encoding="utf-8"?>
<sst xmlns="http://schemas.openxmlformats.org/spreadsheetml/2006/main" count="75" uniqueCount="21">
  <si>
    <t>#</t>
  </si>
  <si>
    <t>2024-12_x</t>
  </si>
  <si>
    <t>lower_x</t>
  </si>
  <si>
    <t>upper_x</t>
  </si>
  <si>
    <t>CorrABV</t>
  </si>
  <si>
    <t>Отклонение прогноза</t>
  </si>
  <si>
    <t>confidence</t>
  </si>
  <si>
    <t>2024-12_y</t>
  </si>
  <si>
    <t>lower_y</t>
  </si>
  <si>
    <t>upper_y</t>
  </si>
  <si>
    <t>А</t>
  </si>
  <si>
    <t>Б</t>
  </si>
  <si>
    <t>В</t>
  </si>
  <si>
    <t>2024-12</t>
  </si>
  <si>
    <t>lower</t>
  </si>
  <si>
    <t>upper</t>
  </si>
  <si>
    <t>Прогноз оплат
на основе прогноза отгрузок</t>
  </si>
  <si>
    <t>Прогноз оплат
на основе менеджерской экспертизы</t>
  </si>
  <si>
    <t>факт оплат</t>
  </si>
  <si>
    <t>Прогноз отгрузок
на основе машинного обучения</t>
  </si>
  <si>
    <t>Прогноз отгрузок
менеджерский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</si>
</sst>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0" fillId="0" borderId="11" xfId="0" applyBorder="1"/>
    <xf numFmtId="0" fontId="0" fillId="0" borderId="12" xfId="0" applyBorder="1"/>
    <xf numFmtId="0" fontId="0" fillId="0" borderId="4" xfId="0" applyBorder="1" applyAlignment="1"/>
    <xf numFmtId="164" fontId="0" fillId="0" borderId="3" xfId="0" applyNumberFormat="1" applyBorder="1" applyAlignment="1"/>
    <xf numFmtId="0" fontId="0" fillId="2" borderId="0" xfId="0" applyFill="1"/>
    <xf numFmtId="0" fontId="2" fillId="0" borderId="3" xfId="0" applyFont="1" applyBorder="1" applyAlignment="1">
      <alignment horizontal="center" wrapText="1"/>
    </xf>
    <xf numFmtId="0" fontId="1" fillId="0" borderId="13" xfId="0" applyFont="1" applyBorder="1" applyAlignment="1">
      <alignment horizontal="center" vertical="top"/>
    </xf>
    <xf numFmtId="0" fontId="0" fillId="0" borderId="14" xfId="0" applyBorder="1"/>
    <xf numFmtId="0" fontId="0" fillId="0" borderId="15" xfId="0" applyBorder="1"/>
    <xf numFmtId="164" fontId="0" fillId="0" borderId="15" xfId="0" applyNumberFormat="1" applyBorder="1"/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164" fontId="1" fillId="0" borderId="18" xfId="0" applyNumberFormat="1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0" fillId="2" borderId="11" xfId="0" applyFill="1" applyBorder="1"/>
    <xf numFmtId="0" fontId="0" fillId="2" borderId="12" xfId="0" applyFill="1" applyBorder="1"/>
    <xf numFmtId="0" fontId="0" fillId="0" borderId="0" xfId="0" applyFill="1" applyBorder="1" applyAlignment="1">
      <alignment horizontal="center" vertical="center"/>
    </xf>
    <xf numFmtId="164" fontId="0" fillId="3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</cellXfs>
  <cellStyles count="1">
    <cellStyle name="Обычный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workbookViewId="0">
      <pane xSplit="1" topLeftCell="B1" activePane="topRight" state="frozen"/>
      <selection pane="topRight" activeCell="O12" sqref="O12"/>
    </sheetView>
  </sheetViews>
  <sheetFormatPr baseColWidth="10" defaultColWidth="8.83203125" defaultRowHeight="15" x14ac:dyDescent="0.2"/>
  <cols>
    <col min="2" max="2" width="3.5" customWidth="1"/>
    <col min="3" max="8" width="12.1640625" bestFit="1" customWidth="1"/>
    <col min="9" max="9" width="10.83203125" style="2" bestFit="1" customWidth="1"/>
    <col min="10" max="10" width="9.83203125" bestFit="1" customWidth="1"/>
    <col min="11" max="11" width="16.1640625" customWidth="1"/>
    <col min="12" max="14" width="12.1640625" bestFit="1" customWidth="1"/>
    <col min="15" max="15" width="10.5" style="2" customWidth="1"/>
    <col min="16" max="16" width="9.83203125" bestFit="1" customWidth="1"/>
    <col min="18" max="18" width="12.1640625" style="16" bestFit="1" customWidth="1"/>
  </cols>
  <sheetData>
    <row r="1" spans="1:18" ht="37" customHeight="1" x14ac:dyDescent="0.2">
      <c r="A1" s="19"/>
      <c r="B1" s="20"/>
      <c r="C1" s="11" t="s">
        <v>19</v>
      </c>
      <c r="D1" s="9"/>
      <c r="E1" s="10"/>
      <c r="F1" s="11" t="s">
        <v>16</v>
      </c>
      <c r="G1" s="9"/>
      <c r="H1" s="10"/>
      <c r="I1" s="21"/>
      <c r="J1" s="20"/>
      <c r="K1" s="27" t="s">
        <v>20</v>
      </c>
      <c r="L1" s="11" t="s">
        <v>17</v>
      </c>
      <c r="M1" s="17"/>
      <c r="N1" s="17"/>
      <c r="O1" s="15"/>
      <c r="P1" s="14"/>
      <c r="Q1" s="20"/>
      <c r="R1" s="30" t="s">
        <v>18</v>
      </c>
    </row>
    <row r="2" spans="1:18" ht="33" thickBot="1" x14ac:dyDescent="0.25">
      <c r="A2" s="22" t="s">
        <v>0</v>
      </c>
      <c r="B2" s="23" t="s">
        <v>4</v>
      </c>
      <c r="C2" s="22" t="s">
        <v>7</v>
      </c>
      <c r="D2" s="24" t="s">
        <v>8</v>
      </c>
      <c r="E2" s="25" t="s">
        <v>9</v>
      </c>
      <c r="F2" s="22" t="s">
        <v>1</v>
      </c>
      <c r="G2" s="24" t="s">
        <v>2</v>
      </c>
      <c r="H2" s="25" t="s">
        <v>3</v>
      </c>
      <c r="I2" s="26" t="s">
        <v>5</v>
      </c>
      <c r="J2" s="23" t="s">
        <v>6</v>
      </c>
      <c r="K2" s="28"/>
      <c r="L2" s="22" t="s">
        <v>13</v>
      </c>
      <c r="M2" s="24" t="s">
        <v>14</v>
      </c>
      <c r="N2" s="24" t="s">
        <v>15</v>
      </c>
      <c r="O2" s="26" t="s">
        <v>5</v>
      </c>
      <c r="P2" s="25" t="s">
        <v>6</v>
      </c>
      <c r="Q2" s="7"/>
      <c r="R2" s="31"/>
    </row>
    <row r="3" spans="1:18" x14ac:dyDescent="0.2">
      <c r="A3" s="18">
        <v>201</v>
      </c>
      <c r="B3" t="s">
        <v>10</v>
      </c>
      <c r="C3" s="3">
        <v>112198303.5811</v>
      </c>
      <c r="D3" s="4">
        <v>86024354.882699996</v>
      </c>
      <c r="E3" s="5">
        <v>138372252.27959999</v>
      </c>
      <c r="F3" s="3">
        <v>112198303.5811</v>
      </c>
      <c r="G3" s="4">
        <v>86024354.882699996</v>
      </c>
      <c r="H3" s="5">
        <v>138372252.27959999</v>
      </c>
      <c r="I3" s="38">
        <f>ABS(F3-R3)/R3</f>
        <v>0.39543613001999767</v>
      </c>
      <c r="J3" s="29" t="str">
        <f>IF(AND(R3&lt;=H3,R3&gt;=G3),1,"")</f>
        <v/>
      </c>
      <c r="K3" s="12"/>
      <c r="L3" s="3">
        <v>144172498.859</v>
      </c>
      <c r="M3" s="4">
        <v>117998550.16060001</v>
      </c>
      <c r="N3" s="4">
        <v>170346447.5575</v>
      </c>
      <c r="O3" s="38">
        <f>ABS(L3-R3)/R3</f>
        <v>0.22314793474678693</v>
      </c>
      <c r="P3" s="29" t="str">
        <f>IF(AND(R3&lt;=N3,R3&gt;=M3),1,"")</f>
        <v/>
      </c>
      <c r="R3" s="32">
        <v>185585525.61999989</v>
      </c>
    </row>
    <row r="4" spans="1:18" x14ac:dyDescent="0.2">
      <c r="A4" s="1">
        <v>301</v>
      </c>
      <c r="B4" t="s">
        <v>10</v>
      </c>
      <c r="C4" s="3">
        <v>206094521.04249999</v>
      </c>
      <c r="D4" s="4">
        <v>154113438.90509999</v>
      </c>
      <c r="E4" s="5">
        <v>258075603.17989999</v>
      </c>
      <c r="F4" s="3">
        <v>206094521.04249999</v>
      </c>
      <c r="G4" s="4">
        <v>154113438.90509999</v>
      </c>
      <c r="H4" s="5">
        <v>258075603.17989999</v>
      </c>
      <c r="I4" s="38">
        <f t="shared" ref="I4:I57" si="0">ABS(F4-R4)/R4</f>
        <v>0.23868798683201337</v>
      </c>
      <c r="J4" s="29" t="str">
        <f t="shared" ref="J4:J57" si="1">IF(AND(R4&lt;=H4,R4&gt;=G4),1,"")</f>
        <v/>
      </c>
      <c r="K4" s="12"/>
      <c r="L4" s="3">
        <v>211458867.46509999</v>
      </c>
      <c r="M4" s="4">
        <v>159477785.32769999</v>
      </c>
      <c r="N4" s="4">
        <v>263439949.60249999</v>
      </c>
      <c r="O4" s="38">
        <f t="shared" ref="O4:O57" si="2">ABS(L4-R4)/R4</f>
        <v>0.21887212101635725</v>
      </c>
      <c r="P4" s="29" t="str">
        <f t="shared" ref="P4:P57" si="3">IF(AND(R4&lt;=N4,R4&gt;=M4),1,"")</f>
        <v/>
      </c>
      <c r="R4" s="32">
        <v>270709666.31</v>
      </c>
    </row>
    <row r="5" spans="1:18" x14ac:dyDescent="0.2">
      <c r="A5" s="1">
        <v>401</v>
      </c>
      <c r="B5" t="s">
        <v>10</v>
      </c>
      <c r="C5" s="3">
        <v>177024388.0239</v>
      </c>
      <c r="D5" s="4">
        <v>147387601.51609999</v>
      </c>
      <c r="E5" s="5">
        <v>206661174.53169999</v>
      </c>
      <c r="F5" s="3">
        <v>177024388.0239</v>
      </c>
      <c r="G5" s="4">
        <v>147387601.51609999</v>
      </c>
      <c r="H5" s="5">
        <v>206661174.53169999</v>
      </c>
      <c r="I5" s="35">
        <f t="shared" si="0"/>
        <v>0.12423329989625678</v>
      </c>
      <c r="J5" s="29">
        <f t="shared" si="1"/>
        <v>1</v>
      </c>
      <c r="K5" s="12"/>
      <c r="L5" s="3">
        <v>162518160.88909999</v>
      </c>
      <c r="M5" s="4">
        <v>132881374.3813</v>
      </c>
      <c r="N5" s="4">
        <v>192154947.3969</v>
      </c>
      <c r="O5" s="35">
        <f t="shared" si="2"/>
        <v>0.19599782234772836</v>
      </c>
      <c r="P5" s="29" t="str">
        <f t="shared" si="3"/>
        <v/>
      </c>
      <c r="R5" s="32">
        <v>202136468.54000011</v>
      </c>
    </row>
    <row r="6" spans="1:18" x14ac:dyDescent="0.2">
      <c r="A6" s="1">
        <v>501</v>
      </c>
      <c r="B6" t="s">
        <v>10</v>
      </c>
      <c r="C6" s="3">
        <v>216139442.63859999</v>
      </c>
      <c r="D6" s="4">
        <v>137038956.43180001</v>
      </c>
      <c r="E6" s="5">
        <v>295239928.84530002</v>
      </c>
      <c r="F6" s="3">
        <v>216139442.63859999</v>
      </c>
      <c r="G6" s="4">
        <v>137038956.43180001</v>
      </c>
      <c r="H6" s="5">
        <v>295239928.84530002</v>
      </c>
      <c r="I6" s="38">
        <f t="shared" si="0"/>
        <v>0.24951863151907189</v>
      </c>
      <c r="J6" s="29">
        <f t="shared" si="1"/>
        <v>1</v>
      </c>
      <c r="K6" s="12"/>
      <c r="L6" s="3">
        <v>291153962.60680002</v>
      </c>
      <c r="M6" s="4">
        <v>212053476.40009999</v>
      </c>
      <c r="N6" s="4">
        <v>370254448.8136</v>
      </c>
      <c r="O6" s="37">
        <f t="shared" si="2"/>
        <v>1.0947477370674447E-2</v>
      </c>
      <c r="P6" s="29">
        <f t="shared" si="3"/>
        <v>1</v>
      </c>
      <c r="R6" s="32">
        <v>288001077.32999998</v>
      </c>
    </row>
    <row r="7" spans="1:18" x14ac:dyDescent="0.2">
      <c r="A7" s="1">
        <v>601</v>
      </c>
      <c r="B7" t="s">
        <v>10</v>
      </c>
      <c r="C7" s="3">
        <v>305907827.48830003</v>
      </c>
      <c r="D7" s="4">
        <v>230864942.04449999</v>
      </c>
      <c r="E7" s="5">
        <v>380950712.93220001</v>
      </c>
      <c r="F7" s="3">
        <v>305907827.48830003</v>
      </c>
      <c r="G7" s="4">
        <v>230864942.04449999</v>
      </c>
      <c r="H7" s="5">
        <v>380950712.93220001</v>
      </c>
      <c r="I7" s="38">
        <f t="shared" si="0"/>
        <v>0.33756080753858186</v>
      </c>
      <c r="J7" s="29" t="str">
        <f t="shared" si="1"/>
        <v/>
      </c>
      <c r="K7" s="12"/>
      <c r="L7" s="3">
        <v>254612161.64480001</v>
      </c>
      <c r="M7" s="4">
        <v>179569276.20089999</v>
      </c>
      <c r="N7" s="4">
        <v>329655047.08859998</v>
      </c>
      <c r="O7" s="35">
        <f t="shared" si="2"/>
        <v>0.11327405818600021</v>
      </c>
      <c r="P7" s="29">
        <f t="shared" si="3"/>
        <v>1</v>
      </c>
      <c r="R7" s="32">
        <v>228705734.91999999</v>
      </c>
    </row>
    <row r="8" spans="1:18" x14ac:dyDescent="0.2">
      <c r="A8" s="1">
        <v>701</v>
      </c>
      <c r="B8" t="s">
        <v>11</v>
      </c>
      <c r="C8" s="3">
        <v>149223932.88139999</v>
      </c>
      <c r="D8" s="4">
        <v>117203126.34540001</v>
      </c>
      <c r="E8" s="5">
        <v>181244739.41749999</v>
      </c>
      <c r="F8" s="3">
        <v>149223932.88139999</v>
      </c>
      <c r="G8" s="4">
        <v>117203126.34540001</v>
      </c>
      <c r="H8" s="5">
        <v>181244739.41749999</v>
      </c>
      <c r="I8" s="35">
        <f t="shared" si="0"/>
        <v>0.17136198186556759</v>
      </c>
      <c r="J8" s="29">
        <f t="shared" si="1"/>
        <v>1</v>
      </c>
      <c r="K8" s="12"/>
      <c r="L8" s="3">
        <v>129388256.57889999</v>
      </c>
      <c r="M8" s="4">
        <v>97367450.042799994</v>
      </c>
      <c r="N8" s="4">
        <v>161409063.11500001</v>
      </c>
      <c r="O8" s="38">
        <f t="shared" si="2"/>
        <v>0.28150916256427749</v>
      </c>
      <c r="P8" s="29" t="str">
        <f t="shared" si="3"/>
        <v/>
      </c>
      <c r="R8" s="32">
        <v>180083377.31999999</v>
      </c>
    </row>
    <row r="9" spans="1:18" x14ac:dyDescent="0.2">
      <c r="A9" s="1">
        <v>801</v>
      </c>
      <c r="B9" t="s">
        <v>12</v>
      </c>
      <c r="C9" s="3">
        <v>3249771.909</v>
      </c>
      <c r="D9" s="4">
        <v>834475.10880000005</v>
      </c>
      <c r="E9" s="5">
        <v>5665068.7090999996</v>
      </c>
      <c r="F9" s="3">
        <v>3249771.909</v>
      </c>
      <c r="G9" s="4">
        <v>834475.10880000005</v>
      </c>
      <c r="H9" s="5">
        <v>5665068.7090999996</v>
      </c>
      <c r="I9" s="38">
        <f t="shared" si="0"/>
        <v>0.58585276873669856</v>
      </c>
      <c r="J9" s="29" t="str">
        <f t="shared" si="1"/>
        <v/>
      </c>
      <c r="K9" s="12"/>
      <c r="L9" s="3">
        <v>3307652.9197999998</v>
      </c>
      <c r="M9" s="4">
        <v>892356.11970000004</v>
      </c>
      <c r="N9" s="4">
        <v>5722949.7199999997</v>
      </c>
      <c r="O9" s="38">
        <f t="shared" si="2"/>
        <v>0.57847647863487484</v>
      </c>
      <c r="P9" s="29" t="str">
        <f t="shared" si="3"/>
        <v/>
      </c>
      <c r="R9" s="32">
        <v>7846900</v>
      </c>
    </row>
    <row r="10" spans="1:18" x14ac:dyDescent="0.2">
      <c r="A10" s="1">
        <v>802</v>
      </c>
      <c r="B10" t="s">
        <v>10</v>
      </c>
      <c r="C10" s="3">
        <v>1440802682.24</v>
      </c>
      <c r="D10" s="4">
        <v>1234212451.3771999</v>
      </c>
      <c r="E10" s="5">
        <v>1647392913.1027999</v>
      </c>
      <c r="F10" s="3">
        <v>1440802682.24</v>
      </c>
      <c r="G10" s="4">
        <v>1234212451.3771999</v>
      </c>
      <c r="H10" s="5">
        <v>1647392913.1027999</v>
      </c>
      <c r="I10" s="36">
        <f t="shared" si="0"/>
        <v>9.194814494786549E-2</v>
      </c>
      <c r="J10" s="29">
        <f t="shared" si="1"/>
        <v>1</v>
      </c>
      <c r="K10" s="12"/>
      <c r="L10" s="3">
        <v>1261632673.924</v>
      </c>
      <c r="M10" s="4">
        <v>1055042443.0612</v>
      </c>
      <c r="N10" s="4">
        <v>1468222904.7867999</v>
      </c>
      <c r="O10" s="37">
        <f t="shared" si="2"/>
        <v>4.3840301744074099E-2</v>
      </c>
      <c r="P10" s="29">
        <f t="shared" si="3"/>
        <v>1</v>
      </c>
      <c r="R10" s="32">
        <v>1319479032.8699999</v>
      </c>
    </row>
    <row r="11" spans="1:18" x14ac:dyDescent="0.2">
      <c r="A11" s="1">
        <v>803</v>
      </c>
      <c r="B11" t="s">
        <v>10</v>
      </c>
      <c r="C11" s="3">
        <v>489255140.99269998</v>
      </c>
      <c r="D11" s="4">
        <v>384267678.81150001</v>
      </c>
      <c r="E11" s="5">
        <v>594242603.17400002</v>
      </c>
      <c r="F11" s="3">
        <v>489255140.99269998</v>
      </c>
      <c r="G11" s="4">
        <v>384267678.81150001</v>
      </c>
      <c r="H11" s="5">
        <v>594242603.17400002</v>
      </c>
      <c r="I11" s="36">
        <f t="shared" si="0"/>
        <v>7.8171875565481594E-2</v>
      </c>
      <c r="J11" s="29">
        <f t="shared" si="1"/>
        <v>1</v>
      </c>
      <c r="K11" s="12"/>
      <c r="L11" s="3">
        <v>459687398.8161</v>
      </c>
      <c r="M11" s="4">
        <v>354699936.63489997</v>
      </c>
      <c r="N11" s="4">
        <v>564674860.99730003</v>
      </c>
      <c r="O11" s="37">
        <f t="shared" si="2"/>
        <v>1.3013422709782221E-2</v>
      </c>
      <c r="P11" s="29">
        <f t="shared" si="3"/>
        <v>1</v>
      </c>
      <c r="R11" s="32">
        <v>453782140.01000029</v>
      </c>
    </row>
    <row r="12" spans="1:18" x14ac:dyDescent="0.2">
      <c r="A12" s="1">
        <v>804</v>
      </c>
      <c r="B12" t="s">
        <v>12</v>
      </c>
      <c r="C12" s="3">
        <v>314038021.5776</v>
      </c>
      <c r="D12" s="4">
        <v>65032479.557700001</v>
      </c>
      <c r="E12" s="5">
        <v>563043563.59749997</v>
      </c>
      <c r="F12" s="3">
        <v>314038021.5776</v>
      </c>
      <c r="G12" s="4">
        <v>65032479.557700001</v>
      </c>
      <c r="H12" s="5">
        <v>563043563.59749997</v>
      </c>
      <c r="I12" s="35">
        <f t="shared" si="0"/>
        <v>0.10432353409340042</v>
      </c>
      <c r="J12" s="29">
        <f t="shared" si="1"/>
        <v>1</v>
      </c>
      <c r="K12" s="12"/>
      <c r="L12" s="3">
        <v>309690779.3739</v>
      </c>
      <c r="M12" s="4">
        <v>60685237.354000002</v>
      </c>
      <c r="N12" s="4">
        <v>558696321.39380002</v>
      </c>
      <c r="O12" s="35">
        <f t="shared" si="2"/>
        <v>0.1167224229728092</v>
      </c>
      <c r="P12" s="29">
        <f t="shared" si="3"/>
        <v>1</v>
      </c>
      <c r="R12" s="32">
        <v>350615466.11000007</v>
      </c>
    </row>
    <row r="13" spans="1:18" x14ac:dyDescent="0.2">
      <c r="A13" s="1">
        <v>805</v>
      </c>
      <c r="B13" t="s">
        <v>12</v>
      </c>
      <c r="C13" s="3">
        <v>1909793.2483999999</v>
      </c>
      <c r="D13" s="4"/>
      <c r="E13" s="5"/>
      <c r="F13" s="3">
        <v>1909793.2483999999</v>
      </c>
      <c r="G13" s="4"/>
      <c r="H13" s="5"/>
      <c r="I13" s="38">
        <f t="shared" si="0"/>
        <v>0.49014001685366954</v>
      </c>
      <c r="J13" s="29" t="str">
        <f t="shared" si="1"/>
        <v/>
      </c>
      <c r="K13" s="12"/>
      <c r="L13" s="3">
        <v>1909793.2483999999</v>
      </c>
      <c r="M13" s="4"/>
      <c r="N13" s="4"/>
      <c r="O13" s="38">
        <f t="shared" si="2"/>
        <v>0.49014001685366954</v>
      </c>
      <c r="P13" s="29" t="str">
        <f t="shared" si="3"/>
        <v/>
      </c>
      <c r="R13" s="32">
        <v>1281620</v>
      </c>
    </row>
    <row r="14" spans="1:18" x14ac:dyDescent="0.2">
      <c r="A14" s="1">
        <v>813</v>
      </c>
      <c r="B14" t="s">
        <v>11</v>
      </c>
      <c r="C14" s="3">
        <v>126259833.25470001</v>
      </c>
      <c r="D14" s="4">
        <v>70130215.998199999</v>
      </c>
      <c r="E14" s="5">
        <v>182389450.51109999</v>
      </c>
      <c r="F14" s="3">
        <v>126259833.25470001</v>
      </c>
      <c r="G14" s="4">
        <v>70130215.998199999</v>
      </c>
      <c r="H14" s="5">
        <v>182389450.51109999</v>
      </c>
      <c r="I14" s="38">
        <f t="shared" si="0"/>
        <v>0.48048398120638863</v>
      </c>
      <c r="J14" s="29" t="str">
        <f t="shared" si="1"/>
        <v/>
      </c>
      <c r="K14" s="12"/>
      <c r="L14" s="3">
        <v>167154936.54539999</v>
      </c>
      <c r="M14" s="4">
        <v>111025319.2889</v>
      </c>
      <c r="N14" s="4">
        <v>223284553.80180001</v>
      </c>
      <c r="O14" s="38">
        <f t="shared" si="2"/>
        <v>0.31221462188544163</v>
      </c>
      <c r="P14" s="29" t="str">
        <f t="shared" si="3"/>
        <v/>
      </c>
      <c r="R14" s="32">
        <v>243033571.03000009</v>
      </c>
    </row>
    <row r="15" spans="1:18" x14ac:dyDescent="0.2">
      <c r="A15" s="1">
        <v>1001</v>
      </c>
      <c r="B15" t="s">
        <v>10</v>
      </c>
      <c r="C15" s="3">
        <v>123474949.26980001</v>
      </c>
      <c r="D15" s="4">
        <v>74019605.787699997</v>
      </c>
      <c r="E15" s="5">
        <v>172930292.752</v>
      </c>
      <c r="F15" s="3">
        <v>123474949.26980001</v>
      </c>
      <c r="G15" s="4">
        <v>74019605.787699997</v>
      </c>
      <c r="H15" s="5">
        <v>172930292.752</v>
      </c>
      <c r="I15" s="38">
        <f t="shared" si="0"/>
        <v>0.40413493646314808</v>
      </c>
      <c r="J15" s="29" t="str">
        <f t="shared" si="1"/>
        <v/>
      </c>
      <c r="K15" s="12"/>
      <c r="L15" s="3">
        <v>187221696.99419999</v>
      </c>
      <c r="M15" s="4">
        <v>137766353.51210001</v>
      </c>
      <c r="N15" s="4">
        <v>236677040.47639999</v>
      </c>
      <c r="O15" s="36">
        <f t="shared" si="2"/>
        <v>9.6506060260340421E-2</v>
      </c>
      <c r="P15" s="29">
        <f t="shared" si="3"/>
        <v>1</v>
      </c>
      <c r="R15" s="32">
        <v>207219648.92000011</v>
      </c>
    </row>
    <row r="16" spans="1:18" x14ac:dyDescent="0.2">
      <c r="A16" s="1">
        <v>1101</v>
      </c>
      <c r="B16" t="s">
        <v>10</v>
      </c>
      <c r="C16" s="3">
        <v>492237961.1444</v>
      </c>
      <c r="D16" s="4">
        <v>393654075.17619997</v>
      </c>
      <c r="E16" s="5">
        <v>590821847.11249995</v>
      </c>
      <c r="F16" s="3">
        <v>492237961.1444</v>
      </c>
      <c r="G16" s="4">
        <v>393654075.17619997</v>
      </c>
      <c r="H16" s="5">
        <v>590821847.11249995</v>
      </c>
      <c r="I16" s="36">
        <f t="shared" si="0"/>
        <v>6.4408360002976867E-2</v>
      </c>
      <c r="J16" s="29">
        <f t="shared" si="1"/>
        <v>1</v>
      </c>
      <c r="K16" s="12"/>
      <c r="L16" s="3">
        <v>512479275.10369998</v>
      </c>
      <c r="M16" s="4">
        <v>413895389.13559997</v>
      </c>
      <c r="N16" s="4">
        <v>611063161.07190001</v>
      </c>
      <c r="O16" s="37">
        <f t="shared" si="2"/>
        <v>2.5935902334640548E-2</v>
      </c>
      <c r="P16" s="29">
        <f t="shared" si="3"/>
        <v>1</v>
      </c>
      <c r="R16" s="32">
        <v>526124796.44000047</v>
      </c>
    </row>
    <row r="17" spans="1:18" x14ac:dyDescent="0.2">
      <c r="A17" s="1">
        <v>1201</v>
      </c>
      <c r="B17" t="s">
        <v>10</v>
      </c>
      <c r="C17" s="3">
        <v>80745855.505099997</v>
      </c>
      <c r="D17" s="4">
        <v>65766428.147</v>
      </c>
      <c r="E17" s="5">
        <v>95725282.863199994</v>
      </c>
      <c r="F17" s="3">
        <v>80745855.505099997</v>
      </c>
      <c r="G17" s="4">
        <v>65766428.147</v>
      </c>
      <c r="H17" s="5">
        <v>95725282.863199994</v>
      </c>
      <c r="I17" s="38">
        <f t="shared" si="0"/>
        <v>0.30095411207750511</v>
      </c>
      <c r="J17" s="29" t="str">
        <f t="shared" si="1"/>
        <v/>
      </c>
      <c r="K17" s="12"/>
      <c r="L17" s="3">
        <v>90712885.307099998</v>
      </c>
      <c r="M17" s="4">
        <v>75733457.949100003</v>
      </c>
      <c r="N17" s="4">
        <v>105692312.6652</v>
      </c>
      <c r="O17" s="38">
        <f t="shared" si="2"/>
        <v>0.21466595333171054</v>
      </c>
      <c r="P17" s="29" t="str">
        <f t="shared" si="3"/>
        <v/>
      </c>
      <c r="R17" s="32">
        <v>115508662.45</v>
      </c>
    </row>
    <row r="18" spans="1:18" x14ac:dyDescent="0.2">
      <c r="A18" s="1">
        <v>1301</v>
      </c>
      <c r="B18" t="s">
        <v>10</v>
      </c>
      <c r="C18" s="3">
        <v>197909042.15279999</v>
      </c>
      <c r="D18" s="4">
        <v>156293612.50650001</v>
      </c>
      <c r="E18" s="5">
        <v>239524471.79910001</v>
      </c>
      <c r="F18" s="3">
        <v>197909042.15279999</v>
      </c>
      <c r="G18" s="4">
        <v>156293612.50650001</v>
      </c>
      <c r="H18" s="5">
        <v>239524471.79910001</v>
      </c>
      <c r="I18" s="38">
        <f t="shared" si="0"/>
        <v>0.42834388434965465</v>
      </c>
      <c r="J18" s="29" t="str">
        <f t="shared" si="1"/>
        <v/>
      </c>
      <c r="K18" s="12"/>
      <c r="L18" s="3">
        <v>240250556.04769999</v>
      </c>
      <c r="M18" s="4">
        <v>198635126.4014</v>
      </c>
      <c r="N18" s="4">
        <v>281865985.69400001</v>
      </c>
      <c r="O18" s="38">
        <f t="shared" si="2"/>
        <v>0.30604130989110195</v>
      </c>
      <c r="P18" s="29" t="str">
        <f t="shared" si="3"/>
        <v/>
      </c>
      <c r="R18" s="32">
        <v>346202964.92000002</v>
      </c>
    </row>
    <row r="19" spans="1:18" x14ac:dyDescent="0.2">
      <c r="A19" s="1">
        <v>1401</v>
      </c>
      <c r="B19" t="s">
        <v>11</v>
      </c>
      <c r="C19" s="3">
        <v>278796154.41259998</v>
      </c>
      <c r="D19" s="4">
        <v>211465653.50220001</v>
      </c>
      <c r="E19" s="5">
        <v>346126655.32300001</v>
      </c>
      <c r="F19" s="3">
        <v>278796154.41259998</v>
      </c>
      <c r="G19" s="4">
        <v>211465653.50220001</v>
      </c>
      <c r="H19" s="5">
        <v>346126655.32300001</v>
      </c>
      <c r="I19" s="38">
        <f t="shared" si="0"/>
        <v>0.26302245341633196</v>
      </c>
      <c r="J19" s="29" t="str">
        <f t="shared" si="1"/>
        <v/>
      </c>
      <c r="K19" s="12"/>
      <c r="L19" s="3">
        <v>316309539.21640003</v>
      </c>
      <c r="M19" s="4">
        <v>248979038.30599999</v>
      </c>
      <c r="N19" s="4">
        <v>383640040.12690002</v>
      </c>
      <c r="O19" s="35">
        <f t="shared" si="2"/>
        <v>0.16385852357302941</v>
      </c>
      <c r="P19" s="29">
        <f t="shared" si="3"/>
        <v>1</v>
      </c>
      <c r="R19" s="32">
        <v>378296673.63</v>
      </c>
    </row>
    <row r="20" spans="1:18" x14ac:dyDescent="0.2">
      <c r="A20" s="1">
        <v>1501</v>
      </c>
      <c r="B20" t="s">
        <v>10</v>
      </c>
      <c r="C20" s="3">
        <v>339208611.15960002</v>
      </c>
      <c r="D20" s="4">
        <v>242123068.80230001</v>
      </c>
      <c r="E20" s="5">
        <v>436294153.5169</v>
      </c>
      <c r="F20" s="3">
        <v>339208611.15960002</v>
      </c>
      <c r="G20" s="4">
        <v>242123068.80230001</v>
      </c>
      <c r="H20" s="5">
        <v>436294153.5169</v>
      </c>
      <c r="I20" s="38">
        <f t="shared" si="0"/>
        <v>0.34477137124453722</v>
      </c>
      <c r="J20" s="29" t="str">
        <f t="shared" si="1"/>
        <v/>
      </c>
      <c r="K20" s="12"/>
      <c r="L20" s="3">
        <v>408316472.76499999</v>
      </c>
      <c r="M20" s="4">
        <v>311230930.4077</v>
      </c>
      <c r="N20" s="4">
        <v>505402015.12220001</v>
      </c>
      <c r="O20" s="38">
        <f t="shared" si="2"/>
        <v>0.21127992112736055</v>
      </c>
      <c r="P20" s="29" t="str">
        <f t="shared" si="3"/>
        <v/>
      </c>
      <c r="R20" s="32">
        <v>517695039.9800002</v>
      </c>
    </row>
    <row r="21" spans="1:18" x14ac:dyDescent="0.2">
      <c r="A21" s="1">
        <v>1601</v>
      </c>
      <c r="B21" t="s">
        <v>10</v>
      </c>
      <c r="C21" s="3">
        <v>53681339.3499</v>
      </c>
      <c r="D21" s="4">
        <v>35870826.416000001</v>
      </c>
      <c r="E21" s="5">
        <v>71491852.283700004</v>
      </c>
      <c r="F21" s="3">
        <v>53681339.3499</v>
      </c>
      <c r="G21" s="4">
        <v>35870826.416000001</v>
      </c>
      <c r="H21" s="5">
        <v>71491852.283700004</v>
      </c>
      <c r="I21" s="38">
        <f t="shared" si="0"/>
        <v>0.54081194252195863</v>
      </c>
      <c r="J21" s="29" t="str">
        <f t="shared" si="1"/>
        <v/>
      </c>
      <c r="K21" s="12"/>
      <c r="L21" s="3">
        <v>88536526.322099999</v>
      </c>
      <c r="M21" s="4">
        <v>70726013.388300002</v>
      </c>
      <c r="N21" s="4">
        <v>106347039.256</v>
      </c>
      <c r="O21" s="38">
        <f t="shared" si="2"/>
        <v>0.24266204923267598</v>
      </c>
      <c r="P21" s="29" t="str">
        <f t="shared" si="3"/>
        <v/>
      </c>
      <c r="R21" s="32">
        <v>116904911.78</v>
      </c>
    </row>
    <row r="22" spans="1:18" x14ac:dyDescent="0.2">
      <c r="A22" s="1">
        <v>1801</v>
      </c>
      <c r="B22" t="s">
        <v>10</v>
      </c>
      <c r="C22" s="3">
        <v>76374771.967099994</v>
      </c>
      <c r="D22" s="4">
        <v>57472873.294</v>
      </c>
      <c r="E22" s="5">
        <v>95276670.640200004</v>
      </c>
      <c r="F22" s="3">
        <v>76374771.967099994</v>
      </c>
      <c r="G22" s="4">
        <v>57472873.294</v>
      </c>
      <c r="H22" s="5">
        <v>95276670.640200004</v>
      </c>
      <c r="I22" s="38">
        <f t="shared" si="0"/>
        <v>0.38160256778757923</v>
      </c>
      <c r="J22" s="29" t="str">
        <f t="shared" si="1"/>
        <v/>
      </c>
      <c r="K22" s="12"/>
      <c r="L22" s="3">
        <v>125182528.84649999</v>
      </c>
      <c r="M22" s="4">
        <v>106280630.1734</v>
      </c>
      <c r="N22" s="4">
        <v>144084427.51969999</v>
      </c>
      <c r="O22" s="37">
        <f t="shared" si="2"/>
        <v>1.3588026552536736E-2</v>
      </c>
      <c r="P22" s="29">
        <f t="shared" si="3"/>
        <v>1</v>
      </c>
      <c r="R22" s="32">
        <v>123504348.48</v>
      </c>
    </row>
    <row r="23" spans="1:18" x14ac:dyDescent="0.2">
      <c r="A23" s="1">
        <v>2001</v>
      </c>
      <c r="B23" t="s">
        <v>10</v>
      </c>
      <c r="C23" s="3">
        <v>99624789.103300005</v>
      </c>
      <c r="D23" s="4"/>
      <c r="E23" s="5"/>
      <c r="F23" s="3">
        <v>99624789.103300005</v>
      </c>
      <c r="G23" s="4"/>
      <c r="H23" s="5"/>
      <c r="I23" s="36">
        <f t="shared" si="0"/>
        <v>8.6892957607432042E-2</v>
      </c>
      <c r="J23" s="29" t="str">
        <f t="shared" si="1"/>
        <v/>
      </c>
      <c r="K23" s="12"/>
      <c r="L23" s="3">
        <v>99624789.103300005</v>
      </c>
      <c r="M23" s="4"/>
      <c r="N23" s="4"/>
      <c r="O23" s="36">
        <f t="shared" si="2"/>
        <v>8.6892957607432042E-2</v>
      </c>
      <c r="P23" s="29" t="str">
        <f t="shared" si="3"/>
        <v/>
      </c>
      <c r="R23" s="32">
        <v>91660166.170000017</v>
      </c>
    </row>
    <row r="24" spans="1:18" x14ac:dyDescent="0.2">
      <c r="A24" s="1">
        <v>2101</v>
      </c>
      <c r="B24" t="s">
        <v>11</v>
      </c>
      <c r="C24" s="3">
        <v>243435379.53749999</v>
      </c>
      <c r="D24" s="4">
        <v>173957246.4465</v>
      </c>
      <c r="E24" s="5">
        <v>312913512.62849998</v>
      </c>
      <c r="F24" s="3">
        <v>243435379.53749999</v>
      </c>
      <c r="G24" s="4">
        <v>173957246.4465</v>
      </c>
      <c r="H24" s="5">
        <v>312913512.62849998</v>
      </c>
      <c r="I24" s="35">
        <f t="shared" si="0"/>
        <v>0.1142203936787346</v>
      </c>
      <c r="J24" s="29">
        <f t="shared" si="1"/>
        <v>1</v>
      </c>
      <c r="K24" s="12"/>
      <c r="L24" s="3">
        <v>237854188.57749999</v>
      </c>
      <c r="M24" s="4">
        <v>168376055.48649999</v>
      </c>
      <c r="N24" s="4">
        <v>307332321.66839999</v>
      </c>
      <c r="O24" s="35">
        <f t="shared" si="2"/>
        <v>0.13452847355087602</v>
      </c>
      <c r="P24" s="29">
        <f t="shared" si="3"/>
        <v>1</v>
      </c>
      <c r="R24" s="32">
        <v>274826128.07999992</v>
      </c>
    </row>
    <row r="25" spans="1:18" x14ac:dyDescent="0.2">
      <c r="A25" s="1">
        <v>2201</v>
      </c>
      <c r="B25" t="s">
        <v>11</v>
      </c>
      <c r="C25" s="3">
        <v>89952474.760700002</v>
      </c>
      <c r="D25" s="4">
        <v>63777676.4001</v>
      </c>
      <c r="E25" s="5">
        <v>116127273.1213</v>
      </c>
      <c r="F25" s="3">
        <v>89952474.760700002</v>
      </c>
      <c r="G25" s="4">
        <v>63777676.4001</v>
      </c>
      <c r="H25" s="5">
        <v>116127273.1213</v>
      </c>
      <c r="I25" s="38">
        <f t="shared" si="0"/>
        <v>0.2662895447835778</v>
      </c>
      <c r="J25" s="29" t="str">
        <f t="shared" si="1"/>
        <v/>
      </c>
      <c r="K25" s="12"/>
      <c r="L25" s="3">
        <v>116147599.3188</v>
      </c>
      <c r="M25" s="4">
        <v>89972800.958100006</v>
      </c>
      <c r="N25" s="4">
        <v>142322397.6794</v>
      </c>
      <c r="O25" s="36">
        <f t="shared" si="2"/>
        <v>5.2625197970393299E-2</v>
      </c>
      <c r="P25" s="29">
        <f t="shared" si="3"/>
        <v>1</v>
      </c>
      <c r="R25" s="32">
        <v>122599417.95999999</v>
      </c>
    </row>
    <row r="26" spans="1:18" x14ac:dyDescent="0.2">
      <c r="A26" s="1">
        <v>2401</v>
      </c>
      <c r="B26" t="s">
        <v>10</v>
      </c>
      <c r="C26" s="3">
        <v>381254875.88480002</v>
      </c>
      <c r="D26" s="4">
        <v>304698102.52719998</v>
      </c>
      <c r="E26" s="5">
        <v>457811649.24239999</v>
      </c>
      <c r="F26" s="3">
        <v>381254875.88480002</v>
      </c>
      <c r="G26" s="4">
        <v>304698102.52719998</v>
      </c>
      <c r="H26" s="5">
        <v>457811649.24239999</v>
      </c>
      <c r="I26" s="35">
        <f t="shared" si="0"/>
        <v>0.12423189095285612</v>
      </c>
      <c r="J26" s="29">
        <f t="shared" si="1"/>
        <v>1</v>
      </c>
      <c r="K26" s="12"/>
      <c r="L26" s="3">
        <v>420966264.14160001</v>
      </c>
      <c r="M26" s="4">
        <v>344409490.78399998</v>
      </c>
      <c r="N26" s="4">
        <v>497523037.49919999</v>
      </c>
      <c r="O26" s="37">
        <f t="shared" si="2"/>
        <v>3.3012159479039641E-2</v>
      </c>
      <c r="P26" s="29">
        <f t="shared" si="3"/>
        <v>1</v>
      </c>
      <c r="R26" s="32">
        <v>435337701.77999997</v>
      </c>
    </row>
    <row r="27" spans="1:18" x14ac:dyDescent="0.2">
      <c r="A27" s="1">
        <v>2601</v>
      </c>
      <c r="B27" t="s">
        <v>10</v>
      </c>
      <c r="C27" s="3">
        <v>180989549.79480001</v>
      </c>
      <c r="D27" s="4">
        <v>132987964.8978</v>
      </c>
      <c r="E27" s="5">
        <v>228991134.6918</v>
      </c>
      <c r="F27" s="3">
        <v>180989549.79480001</v>
      </c>
      <c r="G27" s="4">
        <v>132987964.8978</v>
      </c>
      <c r="H27" s="5">
        <v>228991134.6918</v>
      </c>
      <c r="I27" s="38">
        <f t="shared" si="0"/>
        <v>0.35738402548578924</v>
      </c>
      <c r="J27" s="29" t="str">
        <f t="shared" si="1"/>
        <v/>
      </c>
      <c r="K27" s="12"/>
      <c r="L27" s="3">
        <v>237406056.5984</v>
      </c>
      <c r="M27" s="4">
        <v>189404471.70140001</v>
      </c>
      <c r="N27" s="4">
        <v>285407641.49550003</v>
      </c>
      <c r="O27" s="35">
        <f t="shared" si="2"/>
        <v>0.15707329738360454</v>
      </c>
      <c r="P27" s="29">
        <f t="shared" si="3"/>
        <v>1</v>
      </c>
      <c r="R27" s="32">
        <v>281644959.00000012</v>
      </c>
    </row>
    <row r="28" spans="1:18" x14ac:dyDescent="0.2">
      <c r="A28" s="1">
        <v>2701</v>
      </c>
      <c r="B28" t="s">
        <v>10</v>
      </c>
      <c r="C28" s="3">
        <v>155529435.7482</v>
      </c>
      <c r="D28" s="4">
        <v>123562867.7712</v>
      </c>
      <c r="E28" s="5">
        <v>187496003.7252</v>
      </c>
      <c r="F28" s="3">
        <v>155529435.7482</v>
      </c>
      <c r="G28" s="4">
        <v>123562867.7712</v>
      </c>
      <c r="H28" s="5">
        <v>187496003.7252</v>
      </c>
      <c r="I28" s="38">
        <f t="shared" si="0"/>
        <v>0.28650675453727542</v>
      </c>
      <c r="J28" s="29" t="str">
        <f t="shared" si="1"/>
        <v/>
      </c>
      <c r="K28" s="12"/>
      <c r="L28" s="3">
        <v>180267953.8177</v>
      </c>
      <c r="M28" s="4">
        <v>148301385.8407</v>
      </c>
      <c r="N28" s="4">
        <v>212234521.7947</v>
      </c>
      <c r="O28" s="35">
        <f t="shared" si="2"/>
        <v>0.17301849129994101</v>
      </c>
      <c r="P28" s="29" t="str">
        <f t="shared" si="3"/>
        <v/>
      </c>
      <c r="R28" s="32">
        <v>217983052.73000011</v>
      </c>
    </row>
    <row r="29" spans="1:18" x14ac:dyDescent="0.2">
      <c r="A29" s="1">
        <v>2901</v>
      </c>
      <c r="B29" t="s">
        <v>10</v>
      </c>
      <c r="C29" s="3">
        <v>252578682.31389999</v>
      </c>
      <c r="D29" s="4">
        <v>201652657.0979</v>
      </c>
      <c r="E29" s="5">
        <v>303504707.52990001</v>
      </c>
      <c r="F29" s="3">
        <v>252578682.31389999</v>
      </c>
      <c r="G29" s="4">
        <v>201652657.0979</v>
      </c>
      <c r="H29" s="5">
        <v>303504707.52990001</v>
      </c>
      <c r="I29" s="38">
        <f t="shared" si="0"/>
        <v>0.45579975486667901</v>
      </c>
      <c r="J29" s="29" t="str">
        <f t="shared" si="1"/>
        <v/>
      </c>
      <c r="K29" s="12"/>
      <c r="L29" s="3">
        <v>354366536.05330002</v>
      </c>
      <c r="M29" s="4">
        <v>303440510.8373</v>
      </c>
      <c r="N29" s="4">
        <v>405292561.26929998</v>
      </c>
      <c r="O29" s="38">
        <f t="shared" si="2"/>
        <v>0.2364899760321581</v>
      </c>
      <c r="P29" s="29" t="str">
        <f t="shared" si="3"/>
        <v/>
      </c>
      <c r="R29" s="32">
        <v>464128203.86000001</v>
      </c>
    </row>
    <row r="30" spans="1:18" x14ac:dyDescent="0.2">
      <c r="A30" s="1">
        <v>3001</v>
      </c>
      <c r="B30" t="s">
        <v>10</v>
      </c>
      <c r="C30" s="3">
        <v>236946390.69209999</v>
      </c>
      <c r="D30" s="4">
        <v>180558801.6336</v>
      </c>
      <c r="E30" s="5">
        <v>293333979.75059998</v>
      </c>
      <c r="F30" s="3">
        <v>236946390.69209999</v>
      </c>
      <c r="G30" s="4">
        <v>180558801.6336</v>
      </c>
      <c r="H30" s="5">
        <v>293333979.75059998</v>
      </c>
      <c r="I30" s="38">
        <f t="shared" si="0"/>
        <v>0.36826443606846121</v>
      </c>
      <c r="J30" s="29" t="str">
        <f t="shared" si="1"/>
        <v/>
      </c>
      <c r="K30" s="12"/>
      <c r="L30" s="3">
        <v>327253734.39450002</v>
      </c>
      <c r="M30" s="4">
        <v>270866145.33600003</v>
      </c>
      <c r="N30" s="4">
        <v>383641323.45289999</v>
      </c>
      <c r="O30" s="35">
        <f t="shared" si="2"/>
        <v>0.12749115172192277</v>
      </c>
      <c r="P30" s="29">
        <f t="shared" si="3"/>
        <v>1</v>
      </c>
      <c r="R30" s="32">
        <v>375072109.63</v>
      </c>
    </row>
    <row r="31" spans="1:18" x14ac:dyDescent="0.2">
      <c r="A31" s="1">
        <v>3101</v>
      </c>
      <c r="B31" t="s">
        <v>10</v>
      </c>
      <c r="C31" s="3">
        <v>367551442.70609999</v>
      </c>
      <c r="D31" s="4">
        <v>289524746.30650002</v>
      </c>
      <c r="E31" s="5">
        <v>445578139.10570002</v>
      </c>
      <c r="F31" s="3">
        <v>367551442.70609999</v>
      </c>
      <c r="G31" s="4">
        <v>289524746.30650002</v>
      </c>
      <c r="H31" s="5">
        <v>445578139.10570002</v>
      </c>
      <c r="I31" s="38">
        <f t="shared" si="0"/>
        <v>0.38852649890547786</v>
      </c>
      <c r="J31" s="29" t="str">
        <f t="shared" si="1"/>
        <v/>
      </c>
      <c r="K31" s="12"/>
      <c r="L31" s="3">
        <v>504567597.04250002</v>
      </c>
      <c r="M31" s="4">
        <v>426540900.64289999</v>
      </c>
      <c r="N31" s="4">
        <v>582594293.44210005</v>
      </c>
      <c r="O31" s="35">
        <f t="shared" si="2"/>
        <v>0.1605808622845406</v>
      </c>
      <c r="P31" s="29" t="str">
        <f t="shared" si="3"/>
        <v/>
      </c>
      <c r="R31" s="32">
        <v>601091367.07999969</v>
      </c>
    </row>
    <row r="32" spans="1:18" x14ac:dyDescent="0.2">
      <c r="A32" s="1">
        <v>3201</v>
      </c>
      <c r="B32" t="s">
        <v>10</v>
      </c>
      <c r="C32" s="3">
        <v>1053251989.4277</v>
      </c>
      <c r="D32" s="4">
        <v>886803633.13569999</v>
      </c>
      <c r="E32" s="5">
        <v>1219700345.7198</v>
      </c>
      <c r="F32" s="3">
        <v>1053251989.4277</v>
      </c>
      <c r="G32" s="4">
        <v>886803633.13569999</v>
      </c>
      <c r="H32" s="5">
        <v>1219700345.7198</v>
      </c>
      <c r="I32" s="36">
        <f t="shared" si="0"/>
        <v>6.0085893682981228E-2</v>
      </c>
      <c r="J32" s="29">
        <f t="shared" si="1"/>
        <v>1</v>
      </c>
      <c r="K32" s="12"/>
      <c r="L32" s="3">
        <v>1261671445.2160001</v>
      </c>
      <c r="M32" s="4">
        <v>1095223088.9238999</v>
      </c>
      <c r="N32" s="4">
        <v>1428119801.5079999</v>
      </c>
      <c r="O32" s="35">
        <f t="shared" si="2"/>
        <v>0.12590605173245789</v>
      </c>
      <c r="P32" s="29">
        <f t="shared" si="3"/>
        <v>1</v>
      </c>
      <c r="R32" s="32">
        <v>1120583234.52</v>
      </c>
    </row>
    <row r="33" spans="1:18" x14ac:dyDescent="0.2">
      <c r="A33" s="1">
        <v>3301</v>
      </c>
      <c r="B33" t="s">
        <v>10</v>
      </c>
      <c r="C33" s="3">
        <v>109002760.5519</v>
      </c>
      <c r="D33" s="4">
        <v>78306838.747899994</v>
      </c>
      <c r="E33" s="5">
        <v>139698682.35589999</v>
      </c>
      <c r="F33" s="3">
        <v>109002760.5519</v>
      </c>
      <c r="G33" s="4">
        <v>78306838.747899994</v>
      </c>
      <c r="H33" s="5">
        <v>139698682.35589999</v>
      </c>
      <c r="I33" s="38">
        <f t="shared" si="0"/>
        <v>0.46522461973434021</v>
      </c>
      <c r="J33" s="29" t="str">
        <f t="shared" si="1"/>
        <v/>
      </c>
      <c r="K33" s="12"/>
      <c r="L33" s="3">
        <v>154152707.94729999</v>
      </c>
      <c r="M33" s="4">
        <v>123456786.1433</v>
      </c>
      <c r="N33" s="4">
        <v>184848629.75119999</v>
      </c>
      <c r="O33" s="38">
        <f t="shared" si="2"/>
        <v>0.24371573165573737</v>
      </c>
      <c r="P33" s="29" t="str">
        <f t="shared" si="3"/>
        <v/>
      </c>
      <c r="R33" s="32">
        <v>203829055.29000011</v>
      </c>
    </row>
    <row r="34" spans="1:18" x14ac:dyDescent="0.2">
      <c r="A34" s="1">
        <v>3401</v>
      </c>
      <c r="B34" t="s">
        <v>11</v>
      </c>
      <c r="C34" s="3">
        <v>139419125.24360001</v>
      </c>
      <c r="D34" s="4">
        <v>92747790.374300003</v>
      </c>
      <c r="E34" s="5">
        <v>186090460.1128</v>
      </c>
      <c r="F34" s="3">
        <v>139419125.24360001</v>
      </c>
      <c r="G34" s="4">
        <v>92747790.374300003</v>
      </c>
      <c r="H34" s="5">
        <v>186090460.1128</v>
      </c>
      <c r="I34" s="38">
        <f t="shared" si="0"/>
        <v>0.38988216758793837</v>
      </c>
      <c r="J34" s="29" t="str">
        <f t="shared" si="1"/>
        <v/>
      </c>
      <c r="K34" s="12"/>
      <c r="L34" s="3">
        <v>147016498.85370001</v>
      </c>
      <c r="M34" s="4">
        <v>100345163.9844</v>
      </c>
      <c r="N34" s="4">
        <v>193687833.7229</v>
      </c>
      <c r="O34" s="38">
        <f t="shared" si="2"/>
        <v>0.35663498495844048</v>
      </c>
      <c r="P34" s="29" t="str">
        <f t="shared" si="3"/>
        <v/>
      </c>
      <c r="R34" s="32">
        <v>228511801.87999991</v>
      </c>
    </row>
    <row r="35" spans="1:18" x14ac:dyDescent="0.2">
      <c r="A35" s="1">
        <v>3501</v>
      </c>
      <c r="B35" t="s">
        <v>12</v>
      </c>
      <c r="C35" s="3">
        <v>112773098.5433</v>
      </c>
      <c r="D35" s="4">
        <v>73251484.223000005</v>
      </c>
      <c r="E35" s="5">
        <v>152294712.8637</v>
      </c>
      <c r="F35" s="3">
        <v>112773098.5433</v>
      </c>
      <c r="G35" s="4">
        <v>73251484.223000005</v>
      </c>
      <c r="H35" s="5">
        <v>152294712.8637</v>
      </c>
      <c r="I35" s="38">
        <f t="shared" si="0"/>
        <v>0.60672763525957973</v>
      </c>
      <c r="J35" s="29" t="str">
        <f t="shared" si="1"/>
        <v/>
      </c>
      <c r="K35" s="12"/>
      <c r="L35" s="3">
        <v>91273371.276299998</v>
      </c>
      <c r="M35" s="4">
        <v>51751756.955899999</v>
      </c>
      <c r="N35" s="4">
        <v>130794985.5966</v>
      </c>
      <c r="O35" s="38">
        <f t="shared" si="2"/>
        <v>0.30041162198475307</v>
      </c>
      <c r="P35" s="29">
        <f t="shared" si="3"/>
        <v>1</v>
      </c>
      <c r="R35" s="32">
        <v>70188061.790000021</v>
      </c>
    </row>
    <row r="36" spans="1:18" x14ac:dyDescent="0.2">
      <c r="A36" s="1">
        <v>3701</v>
      </c>
      <c r="B36" t="s">
        <v>10</v>
      </c>
      <c r="C36" s="3">
        <v>268652597.83490002</v>
      </c>
      <c r="D36" s="4">
        <v>185368408.29120001</v>
      </c>
      <c r="E36" s="5">
        <v>351936787.37870002</v>
      </c>
      <c r="F36" s="3">
        <v>268652597.83490002</v>
      </c>
      <c r="G36" s="4">
        <v>185368408.29120001</v>
      </c>
      <c r="H36" s="5">
        <v>351936787.37870002</v>
      </c>
      <c r="I36" s="37">
        <f t="shared" si="0"/>
        <v>4.161650701278688E-2</v>
      </c>
      <c r="J36" s="29">
        <f t="shared" si="1"/>
        <v>1</v>
      </c>
      <c r="K36" s="12"/>
      <c r="L36" s="3">
        <v>302036302.94940001</v>
      </c>
      <c r="M36" s="4">
        <v>218752113.4057</v>
      </c>
      <c r="N36" s="4">
        <v>385320492.4932</v>
      </c>
      <c r="O36" s="35">
        <f t="shared" si="2"/>
        <v>0.17105139278254997</v>
      </c>
      <c r="P36" s="29">
        <f t="shared" si="3"/>
        <v>1</v>
      </c>
      <c r="R36" s="32">
        <v>257918913.55999991</v>
      </c>
    </row>
    <row r="37" spans="1:18" x14ac:dyDescent="0.2">
      <c r="A37" s="1">
        <v>3801</v>
      </c>
      <c r="B37" t="s">
        <v>12</v>
      </c>
      <c r="C37" s="3">
        <v>34227764.483099997</v>
      </c>
      <c r="D37" s="4">
        <v>14509688.3587</v>
      </c>
      <c r="E37" s="5">
        <v>53945840.6074</v>
      </c>
      <c r="F37" s="3">
        <v>34227764.483099997</v>
      </c>
      <c r="G37" s="4">
        <v>14509688.3587</v>
      </c>
      <c r="H37" s="5">
        <v>53945840.6074</v>
      </c>
      <c r="I37" s="38">
        <f t="shared" si="0"/>
        <v>0.27185692021287799</v>
      </c>
      <c r="J37" s="29">
        <f t="shared" si="1"/>
        <v>1</v>
      </c>
      <c r="K37" s="12"/>
      <c r="L37" s="3">
        <v>33268430.59</v>
      </c>
      <c r="M37" s="4">
        <v>13550354.465700001</v>
      </c>
      <c r="N37" s="4">
        <v>52986506.714299999</v>
      </c>
      <c r="O37" s="38">
        <f t="shared" si="2"/>
        <v>0.29226527424987342</v>
      </c>
      <c r="P37" s="29">
        <f t="shared" si="3"/>
        <v>1</v>
      </c>
      <c r="R37" s="32">
        <v>47006921.349999972</v>
      </c>
    </row>
    <row r="38" spans="1:18" x14ac:dyDescent="0.2">
      <c r="A38" s="1">
        <v>3901</v>
      </c>
      <c r="B38" t="s">
        <v>10</v>
      </c>
      <c r="C38" s="3">
        <v>87327738.316699997</v>
      </c>
      <c r="D38" s="4">
        <v>62825380.543499999</v>
      </c>
      <c r="E38" s="5">
        <v>111830096.09</v>
      </c>
      <c r="F38" s="3">
        <v>87327738.316699997</v>
      </c>
      <c r="G38" s="4">
        <v>62825380.543499999</v>
      </c>
      <c r="H38" s="5">
        <v>111830096.09</v>
      </c>
      <c r="I38" s="38">
        <f t="shared" si="0"/>
        <v>0.29648509025628422</v>
      </c>
      <c r="J38" s="29" t="str">
        <f t="shared" si="1"/>
        <v/>
      </c>
      <c r="K38" s="12"/>
      <c r="L38" s="3">
        <v>90564313.946500003</v>
      </c>
      <c r="M38" s="4">
        <v>66061956.173199996</v>
      </c>
      <c r="N38" s="4">
        <v>115066671.71969999</v>
      </c>
      <c r="O38" s="38">
        <f t="shared" si="2"/>
        <v>0.2704111387722799</v>
      </c>
      <c r="P38" s="29" t="str">
        <f t="shared" si="3"/>
        <v/>
      </c>
      <c r="R38" s="32">
        <v>124130614.87</v>
      </c>
    </row>
    <row r="39" spans="1:18" x14ac:dyDescent="0.2">
      <c r="A39" s="1">
        <v>4001</v>
      </c>
      <c r="B39" t="s">
        <v>10</v>
      </c>
      <c r="C39" s="3">
        <v>605227535.84660006</v>
      </c>
      <c r="D39" s="4">
        <v>494003404.11140001</v>
      </c>
      <c r="E39" s="5">
        <v>716451667.5819</v>
      </c>
      <c r="F39" s="3">
        <v>605227535.84660006</v>
      </c>
      <c r="G39" s="4">
        <v>494003404.11140001</v>
      </c>
      <c r="H39" s="5">
        <v>716451667.5819</v>
      </c>
      <c r="I39" s="38">
        <f t="shared" si="0"/>
        <v>0.20447819261587627</v>
      </c>
      <c r="J39" s="29" t="str">
        <f t="shared" si="1"/>
        <v/>
      </c>
      <c r="K39" s="12"/>
      <c r="L39" s="3">
        <v>661765285.23000002</v>
      </c>
      <c r="M39" s="4">
        <v>550541153.49469995</v>
      </c>
      <c r="N39" s="4">
        <v>772989416.96519995</v>
      </c>
      <c r="O39" s="35">
        <f t="shared" si="2"/>
        <v>0.13016397207731711</v>
      </c>
      <c r="P39" s="29">
        <f t="shared" si="3"/>
        <v>1</v>
      </c>
      <c r="R39" s="32">
        <v>760793142.60000086</v>
      </c>
    </row>
    <row r="40" spans="1:18" x14ac:dyDescent="0.2">
      <c r="A40" s="1">
        <v>4101</v>
      </c>
      <c r="B40" t="s">
        <v>12</v>
      </c>
      <c r="C40" s="3">
        <v>16390571.777100001</v>
      </c>
      <c r="D40" s="4"/>
      <c r="E40" s="5"/>
      <c r="F40" s="3">
        <v>16390571.777100001</v>
      </c>
      <c r="G40" s="4"/>
      <c r="H40" s="5"/>
      <c r="I40" s="38">
        <f t="shared" si="0"/>
        <v>0.50615602235982216</v>
      </c>
      <c r="J40" s="29" t="str">
        <f t="shared" si="1"/>
        <v/>
      </c>
      <c r="K40" s="12"/>
      <c r="L40" s="3">
        <v>16390571.777100001</v>
      </c>
      <c r="M40" s="4"/>
      <c r="N40" s="4"/>
      <c r="O40" s="38">
        <f t="shared" si="2"/>
        <v>0.50615602235982216</v>
      </c>
      <c r="P40" s="29" t="str">
        <f t="shared" si="3"/>
        <v/>
      </c>
      <c r="R40" s="32">
        <v>33189777.580000009</v>
      </c>
    </row>
    <row r="41" spans="1:18" x14ac:dyDescent="0.2">
      <c r="A41" s="1">
        <v>4201</v>
      </c>
      <c r="B41" t="s">
        <v>10</v>
      </c>
      <c r="C41" s="3">
        <v>415713524.10290003</v>
      </c>
      <c r="D41" s="4">
        <v>333598264.37809998</v>
      </c>
      <c r="E41" s="5">
        <v>497828783.82770002</v>
      </c>
      <c r="F41" s="3">
        <v>415713524.10290003</v>
      </c>
      <c r="G41" s="4">
        <v>333598264.37809998</v>
      </c>
      <c r="H41" s="5">
        <v>497828783.82770002</v>
      </c>
      <c r="I41" s="35">
        <f t="shared" si="0"/>
        <v>0.18404051903626395</v>
      </c>
      <c r="J41" s="29" t="str">
        <f t="shared" si="1"/>
        <v/>
      </c>
      <c r="K41" s="12"/>
      <c r="L41" s="3">
        <v>386819543.84549999</v>
      </c>
      <c r="M41" s="4">
        <v>304704284.1207</v>
      </c>
      <c r="N41" s="4">
        <v>468934803.57029998</v>
      </c>
      <c r="O41" s="38">
        <f t="shared" si="2"/>
        <v>0.24075341329362954</v>
      </c>
      <c r="P41" s="29" t="str">
        <f t="shared" si="3"/>
        <v/>
      </c>
      <c r="R41" s="32">
        <v>509478146.6499998</v>
      </c>
    </row>
    <row r="42" spans="1:18" x14ac:dyDescent="0.2">
      <c r="A42" s="1">
        <v>4301</v>
      </c>
      <c r="B42" t="s">
        <v>11</v>
      </c>
      <c r="C42" s="3">
        <v>20804708.5189</v>
      </c>
      <c r="D42" s="4"/>
      <c r="E42" s="5"/>
      <c r="F42" s="3">
        <v>20804708.5189</v>
      </c>
      <c r="G42" s="4"/>
      <c r="H42" s="5"/>
      <c r="I42" s="38">
        <f t="shared" si="0"/>
        <v>0.52382250914361617</v>
      </c>
      <c r="J42" s="29" t="str">
        <f t="shared" si="1"/>
        <v/>
      </c>
      <c r="K42" s="12"/>
      <c r="L42" s="3">
        <v>20804708.5189</v>
      </c>
      <c r="M42" s="4"/>
      <c r="N42" s="4"/>
      <c r="O42" s="38">
        <f t="shared" si="2"/>
        <v>0.52382250914361617</v>
      </c>
      <c r="P42" s="29" t="str">
        <f t="shared" si="3"/>
        <v/>
      </c>
      <c r="R42" s="32">
        <v>13652973.619999999</v>
      </c>
    </row>
    <row r="43" spans="1:18" x14ac:dyDescent="0.2">
      <c r="A43" s="1">
        <v>4401</v>
      </c>
      <c r="B43" t="s">
        <v>11</v>
      </c>
      <c r="C43" s="3">
        <v>218707153.5781</v>
      </c>
      <c r="D43" s="4">
        <v>40760621.522799999</v>
      </c>
      <c r="E43" s="5">
        <v>396653685.63340002</v>
      </c>
      <c r="F43" s="3">
        <v>218707153.5781</v>
      </c>
      <c r="G43" s="4">
        <v>40760621.522799999</v>
      </c>
      <c r="H43" s="5">
        <v>396653685.63340002</v>
      </c>
      <c r="I43" s="38">
        <f t="shared" si="0"/>
        <v>0.48387271922400443</v>
      </c>
      <c r="J43" s="29" t="str">
        <f t="shared" si="1"/>
        <v/>
      </c>
      <c r="K43" s="12"/>
      <c r="L43" s="3">
        <v>319453798.42079997</v>
      </c>
      <c r="M43" s="4">
        <v>141507266.36559999</v>
      </c>
      <c r="N43" s="4">
        <v>497400330.47610003</v>
      </c>
      <c r="O43" s="38">
        <f t="shared" si="2"/>
        <v>0.2461205881241898</v>
      </c>
      <c r="P43" s="29">
        <f t="shared" si="3"/>
        <v>1</v>
      </c>
      <c r="R43" s="32">
        <v>423746548.04000002</v>
      </c>
    </row>
    <row r="44" spans="1:18" x14ac:dyDescent="0.2">
      <c r="A44" s="1">
        <v>4501</v>
      </c>
      <c r="B44" t="s">
        <v>10</v>
      </c>
      <c r="C44" s="3">
        <v>530953668.58539999</v>
      </c>
      <c r="D44" s="4">
        <v>450023025.01279998</v>
      </c>
      <c r="E44" s="5">
        <v>611884312.15799999</v>
      </c>
      <c r="F44" s="3">
        <v>530953668.58539999</v>
      </c>
      <c r="G44" s="4">
        <v>450023025.01279998</v>
      </c>
      <c r="H44" s="5">
        <v>611884312.15799999</v>
      </c>
      <c r="I44" s="38">
        <f t="shared" si="0"/>
        <v>0.31923800065837654</v>
      </c>
      <c r="J44" s="29" t="str">
        <f t="shared" si="1"/>
        <v/>
      </c>
      <c r="K44" s="12"/>
      <c r="L44" s="3">
        <v>692456246.06110001</v>
      </c>
      <c r="M44" s="4">
        <v>611525602.48839998</v>
      </c>
      <c r="N44" s="4">
        <v>773386889.63370001</v>
      </c>
      <c r="O44" s="35">
        <f t="shared" si="2"/>
        <v>0.11216754602887025</v>
      </c>
      <c r="P44" s="29" t="str">
        <f t="shared" si="3"/>
        <v/>
      </c>
      <c r="R44" s="32">
        <v>779940227.42000043</v>
      </c>
    </row>
    <row r="45" spans="1:18" x14ac:dyDescent="0.2">
      <c r="A45" s="1">
        <v>4701</v>
      </c>
      <c r="B45" t="s">
        <v>12</v>
      </c>
      <c r="C45" s="3">
        <v>456952764.0546</v>
      </c>
      <c r="D45" s="4">
        <v>344012876.38450003</v>
      </c>
      <c r="E45" s="5">
        <v>569892651.72479999</v>
      </c>
      <c r="F45" s="3">
        <v>456952764.0546</v>
      </c>
      <c r="G45" s="4">
        <v>344012876.38450003</v>
      </c>
      <c r="H45" s="5">
        <v>569892651.72479999</v>
      </c>
      <c r="I45" s="38">
        <f t="shared" si="0"/>
        <v>0.61845734539082098</v>
      </c>
      <c r="J45" s="29" t="str">
        <f t="shared" si="1"/>
        <v/>
      </c>
      <c r="K45" s="12"/>
      <c r="L45" s="3">
        <v>412536886.5772</v>
      </c>
      <c r="M45" s="4">
        <v>299596998.90700001</v>
      </c>
      <c r="N45" s="4">
        <v>525476774.24730003</v>
      </c>
      <c r="O45" s="38">
        <f t="shared" si="2"/>
        <v>0.46114304769967623</v>
      </c>
      <c r="P45" s="29" t="str">
        <f t="shared" si="3"/>
        <v/>
      </c>
      <c r="R45" s="32">
        <v>282338465.92000002</v>
      </c>
    </row>
    <row r="46" spans="1:18" x14ac:dyDescent="0.2">
      <c r="A46" s="1">
        <v>6402</v>
      </c>
      <c r="B46" t="s">
        <v>11</v>
      </c>
      <c r="C46" s="3">
        <v>71899425.261500001</v>
      </c>
      <c r="D46" s="4">
        <v>40032171.931100003</v>
      </c>
      <c r="E46" s="5">
        <v>103766678.59199999</v>
      </c>
      <c r="F46" s="3">
        <v>71899425.261500001</v>
      </c>
      <c r="G46" s="4">
        <v>40032171.931100003</v>
      </c>
      <c r="H46" s="5">
        <v>103766678.59199999</v>
      </c>
      <c r="I46" s="38">
        <f t="shared" si="0"/>
        <v>0.41897677872662198</v>
      </c>
      <c r="J46" s="29" t="str">
        <f t="shared" si="1"/>
        <v/>
      </c>
      <c r="K46" s="12"/>
      <c r="L46" s="3">
        <v>127794032.6321</v>
      </c>
      <c r="M46" s="4">
        <v>95926779.301699996</v>
      </c>
      <c r="N46" s="4">
        <v>159661285.96259999</v>
      </c>
      <c r="O46" s="37">
        <f t="shared" si="2"/>
        <v>3.2710626397416953E-2</v>
      </c>
      <c r="P46" s="29">
        <f t="shared" si="3"/>
        <v>1</v>
      </c>
      <c r="R46" s="32">
        <v>123746216.37999991</v>
      </c>
    </row>
    <row r="47" spans="1:18" x14ac:dyDescent="0.2">
      <c r="A47" s="1">
        <v>6501</v>
      </c>
      <c r="B47" t="s">
        <v>10</v>
      </c>
      <c r="C47" s="3">
        <v>147167211.59529999</v>
      </c>
      <c r="D47" s="4">
        <v>114264379.7793</v>
      </c>
      <c r="E47" s="5">
        <v>180070043.41119999</v>
      </c>
      <c r="F47" s="3">
        <v>147167211.59529999</v>
      </c>
      <c r="G47" s="4">
        <v>114264379.7793</v>
      </c>
      <c r="H47" s="5">
        <v>180070043.41119999</v>
      </c>
      <c r="I47" s="35">
        <f t="shared" si="0"/>
        <v>0.16959340944872289</v>
      </c>
      <c r="J47" s="29">
        <f t="shared" si="1"/>
        <v>1</v>
      </c>
      <c r="K47" s="12"/>
      <c r="L47" s="3">
        <v>140738556.56619999</v>
      </c>
      <c r="M47" s="4">
        <v>107835724.75030001</v>
      </c>
      <c r="N47" s="4">
        <v>173641388.3822</v>
      </c>
      <c r="O47" s="38">
        <f t="shared" si="2"/>
        <v>0.20586777686165922</v>
      </c>
      <c r="P47" s="29" t="str">
        <f t="shared" si="3"/>
        <v/>
      </c>
      <c r="R47" s="32">
        <v>177223077.54999989</v>
      </c>
    </row>
    <row r="48" spans="1:18" x14ac:dyDescent="0.2">
      <c r="A48" s="1">
        <v>6801</v>
      </c>
      <c r="B48" t="s">
        <v>11</v>
      </c>
      <c r="C48" s="3">
        <v>111117801.4162</v>
      </c>
      <c r="D48" s="4"/>
      <c r="E48" s="5"/>
      <c r="F48" s="3">
        <v>111117801.4162</v>
      </c>
      <c r="G48" s="4"/>
      <c r="H48" s="5"/>
      <c r="I48" s="38">
        <f t="shared" si="0"/>
        <v>0.73751079690666521</v>
      </c>
      <c r="J48" s="29" t="str">
        <f t="shared" si="1"/>
        <v/>
      </c>
      <c r="K48" s="12"/>
      <c r="L48" s="3">
        <v>111117801.4162</v>
      </c>
      <c r="M48" s="4"/>
      <c r="N48" s="4"/>
      <c r="O48" s="38">
        <f t="shared" si="2"/>
        <v>0.73751079690666521</v>
      </c>
      <c r="P48" s="29" t="str">
        <f t="shared" si="3"/>
        <v/>
      </c>
      <c r="R48" s="32">
        <v>63952294.060000002</v>
      </c>
    </row>
    <row r="49" spans="1:18" x14ac:dyDescent="0.2">
      <c r="A49" s="1">
        <v>7001</v>
      </c>
      <c r="B49" t="s">
        <v>10</v>
      </c>
      <c r="C49" s="3">
        <v>171367150.3407</v>
      </c>
      <c r="D49" s="4">
        <v>123957925.6558</v>
      </c>
      <c r="E49" s="5">
        <v>218776375.02559999</v>
      </c>
      <c r="F49" s="3">
        <v>171367150.3407</v>
      </c>
      <c r="G49" s="4">
        <v>123957925.6558</v>
      </c>
      <c r="H49" s="5">
        <v>218776375.02559999</v>
      </c>
      <c r="I49" s="38">
        <f t="shared" si="0"/>
        <v>0.38306220358673387</v>
      </c>
      <c r="J49" s="29" t="str">
        <f t="shared" si="1"/>
        <v/>
      </c>
      <c r="K49" s="12"/>
      <c r="L49" s="3">
        <v>219412497.10429999</v>
      </c>
      <c r="M49" s="4">
        <v>172003272.41940001</v>
      </c>
      <c r="N49" s="4">
        <v>266821721.78909999</v>
      </c>
      <c r="O49" s="38">
        <f t="shared" si="2"/>
        <v>0.21009445392574858</v>
      </c>
      <c r="P49" s="29" t="str">
        <f t="shared" si="3"/>
        <v/>
      </c>
      <c r="R49" s="32">
        <v>277770548.88999999</v>
      </c>
    </row>
    <row r="50" spans="1:18" x14ac:dyDescent="0.2">
      <c r="A50" s="1">
        <v>7101</v>
      </c>
      <c r="B50" t="s">
        <v>10</v>
      </c>
      <c r="C50" s="3">
        <v>33179327.053599998</v>
      </c>
      <c r="D50" s="4">
        <v>22056095.983899999</v>
      </c>
      <c r="E50" s="5">
        <v>44302558.123199999</v>
      </c>
      <c r="F50" s="3">
        <v>33179327.053599998</v>
      </c>
      <c r="G50" s="4">
        <v>22056095.983899999</v>
      </c>
      <c r="H50" s="5">
        <v>44302558.123199999</v>
      </c>
      <c r="I50" s="38">
        <f t="shared" si="0"/>
        <v>0.30691014079536039</v>
      </c>
      <c r="J50" s="29" t="str">
        <f t="shared" si="1"/>
        <v/>
      </c>
      <c r="K50" s="12"/>
      <c r="L50" s="3">
        <v>39006939.827399999</v>
      </c>
      <c r="M50" s="4">
        <v>27883708.7577</v>
      </c>
      <c r="N50" s="4">
        <v>50130170.897</v>
      </c>
      <c r="O50" s="35">
        <f t="shared" si="2"/>
        <v>0.18517592628379875</v>
      </c>
      <c r="P50" s="29">
        <f t="shared" si="3"/>
        <v>1</v>
      </c>
      <c r="R50" s="32">
        <v>47871609.450000003</v>
      </c>
    </row>
    <row r="51" spans="1:18" x14ac:dyDescent="0.2">
      <c r="A51" s="1">
        <v>7201</v>
      </c>
      <c r="B51" t="s">
        <v>11</v>
      </c>
      <c r="C51" s="3">
        <v>158382939.01280001</v>
      </c>
      <c r="D51" s="4">
        <v>124204612.3836</v>
      </c>
      <c r="E51" s="5">
        <v>192561265.64210001</v>
      </c>
      <c r="F51" s="3">
        <v>158382939.01280001</v>
      </c>
      <c r="G51" s="4">
        <v>124204612.3836</v>
      </c>
      <c r="H51" s="5">
        <v>192561265.64210001</v>
      </c>
      <c r="I51" s="38">
        <f t="shared" si="0"/>
        <v>0.59340993530945474</v>
      </c>
      <c r="J51" s="29" t="str">
        <f t="shared" si="1"/>
        <v/>
      </c>
      <c r="K51" s="12"/>
      <c r="L51" s="3">
        <v>126289728.37369999</v>
      </c>
      <c r="M51" s="4">
        <v>92111401.744499996</v>
      </c>
      <c r="N51" s="4">
        <v>160468055.0029</v>
      </c>
      <c r="O51" s="38">
        <f t="shared" si="2"/>
        <v>0.27053651846884241</v>
      </c>
      <c r="P51" s="29">
        <f t="shared" si="3"/>
        <v>1</v>
      </c>
      <c r="R51" s="32">
        <v>99398739.460000038</v>
      </c>
    </row>
    <row r="52" spans="1:18" x14ac:dyDescent="0.2">
      <c r="A52" s="1">
        <v>7301</v>
      </c>
      <c r="B52" t="s">
        <v>11</v>
      </c>
      <c r="C52" s="3">
        <v>58169983.655000001</v>
      </c>
      <c r="D52" s="4">
        <v>36292006.4661</v>
      </c>
      <c r="E52" s="5">
        <v>80047960.843999997</v>
      </c>
      <c r="F52" s="3">
        <v>58169983.655000001</v>
      </c>
      <c r="G52" s="4">
        <v>36292006.4661</v>
      </c>
      <c r="H52" s="5">
        <v>80047960.843999997</v>
      </c>
      <c r="I52" s="38">
        <f t="shared" si="0"/>
        <v>0.55770171388557499</v>
      </c>
      <c r="J52" s="29" t="str">
        <f t="shared" si="1"/>
        <v/>
      </c>
      <c r="K52" s="12"/>
      <c r="L52" s="3">
        <v>117311627.4004</v>
      </c>
      <c r="M52" s="4">
        <v>95433650.211400002</v>
      </c>
      <c r="N52" s="4">
        <v>139189604.58930001</v>
      </c>
      <c r="O52" s="35">
        <f t="shared" si="2"/>
        <v>0.10801536324600608</v>
      </c>
      <c r="P52" s="29">
        <f t="shared" si="3"/>
        <v>1</v>
      </c>
      <c r="R52" s="32">
        <v>131517542.53</v>
      </c>
    </row>
    <row r="53" spans="1:18" x14ac:dyDescent="0.2">
      <c r="A53" s="1">
        <v>7401</v>
      </c>
      <c r="B53" t="s">
        <v>10</v>
      </c>
      <c r="C53" s="3">
        <v>114299834.91689999</v>
      </c>
      <c r="D53" s="4">
        <v>60358427.601800002</v>
      </c>
      <c r="E53" s="5">
        <v>168241242.23210001</v>
      </c>
      <c r="F53" s="3">
        <v>114299834.91689999</v>
      </c>
      <c r="G53" s="4">
        <v>60358427.601800002</v>
      </c>
      <c r="H53" s="5">
        <v>168241242.23210001</v>
      </c>
      <c r="I53" s="38">
        <f t="shared" si="0"/>
        <v>0.20933148114480449</v>
      </c>
      <c r="J53" s="29">
        <f t="shared" si="1"/>
        <v>1</v>
      </c>
      <c r="K53" s="12"/>
      <c r="L53" s="3">
        <v>138195731.6331</v>
      </c>
      <c r="M53" s="4">
        <v>84254324.318000004</v>
      </c>
      <c r="N53" s="4">
        <v>192137138.94819999</v>
      </c>
      <c r="O53" s="37">
        <f t="shared" si="2"/>
        <v>4.4031738786899935E-2</v>
      </c>
      <c r="P53" s="29">
        <f t="shared" si="3"/>
        <v>1</v>
      </c>
      <c r="R53" s="32">
        <v>144561004</v>
      </c>
    </row>
    <row r="54" spans="1:18" x14ac:dyDescent="0.2">
      <c r="A54" s="1">
        <v>7501</v>
      </c>
      <c r="B54" t="s">
        <v>10</v>
      </c>
      <c r="C54" s="3">
        <v>154170027.405</v>
      </c>
      <c r="D54" s="4">
        <v>121803389.4893</v>
      </c>
      <c r="E54" s="5">
        <v>186536665.3206</v>
      </c>
      <c r="F54" s="3">
        <v>154170027.405</v>
      </c>
      <c r="G54" s="4">
        <v>121803389.4893</v>
      </c>
      <c r="H54" s="5">
        <v>186536665.3206</v>
      </c>
      <c r="I54" s="37">
        <f t="shared" si="0"/>
        <v>2.5025341316178746E-2</v>
      </c>
      <c r="J54" s="29">
        <f t="shared" si="1"/>
        <v>1</v>
      </c>
      <c r="K54" s="12"/>
      <c r="L54" s="3">
        <v>179621276.69710001</v>
      </c>
      <c r="M54" s="4">
        <v>147254638.78150001</v>
      </c>
      <c r="N54" s="4">
        <v>211987914.6128</v>
      </c>
      <c r="O54" s="35">
        <f t="shared" si="2"/>
        <v>0.13592892138532275</v>
      </c>
      <c r="P54" s="29">
        <f t="shared" si="3"/>
        <v>1</v>
      </c>
      <c r="R54" s="32">
        <v>158127214.93000001</v>
      </c>
    </row>
    <row r="55" spans="1:18" x14ac:dyDescent="0.2">
      <c r="A55" s="1">
        <v>7601</v>
      </c>
      <c r="B55" t="s">
        <v>10</v>
      </c>
      <c r="C55" s="3">
        <v>72604435.990500003</v>
      </c>
      <c r="D55" s="4">
        <v>49912333.286600001</v>
      </c>
      <c r="E55" s="5">
        <v>95296538.694399998</v>
      </c>
      <c r="F55" s="3">
        <v>72604435.990500003</v>
      </c>
      <c r="G55" s="4">
        <v>49912333.286600001</v>
      </c>
      <c r="H55" s="5">
        <v>95296538.694399998</v>
      </c>
      <c r="I55" s="35">
        <f t="shared" si="0"/>
        <v>0.17696247136083329</v>
      </c>
      <c r="J55" s="29">
        <f t="shared" si="1"/>
        <v>1</v>
      </c>
      <c r="K55" s="12"/>
      <c r="L55" s="3">
        <v>79682160.332000002</v>
      </c>
      <c r="M55" s="4">
        <v>56990057.6281</v>
      </c>
      <c r="N55" s="4">
        <v>102374263.036</v>
      </c>
      <c r="O55" s="36">
        <f t="shared" si="2"/>
        <v>9.6730008000335044E-2</v>
      </c>
      <c r="P55" s="29">
        <f t="shared" si="3"/>
        <v>1</v>
      </c>
      <c r="R55" s="32">
        <v>88215219.190000013</v>
      </c>
    </row>
    <row r="56" spans="1:18" x14ac:dyDescent="0.2">
      <c r="A56" s="1">
        <v>7801</v>
      </c>
      <c r="B56" t="s">
        <v>10</v>
      </c>
      <c r="C56" s="3">
        <v>108680947.94580001</v>
      </c>
      <c r="D56" s="4">
        <v>82410043.954699993</v>
      </c>
      <c r="E56" s="5">
        <v>134951851.9368</v>
      </c>
      <c r="F56" s="3">
        <v>108680947.94580001</v>
      </c>
      <c r="G56" s="4">
        <v>82410043.954699993</v>
      </c>
      <c r="H56" s="5">
        <v>134951851.9368</v>
      </c>
      <c r="I56" s="38">
        <f t="shared" si="0"/>
        <v>0.39792123793153966</v>
      </c>
      <c r="J56" s="29" t="str">
        <f t="shared" si="1"/>
        <v/>
      </c>
      <c r="K56" s="12"/>
      <c r="L56" s="3">
        <v>150854400.35569999</v>
      </c>
      <c r="M56" s="4">
        <v>124583496.3646</v>
      </c>
      <c r="N56" s="4">
        <v>177125304.34670001</v>
      </c>
      <c r="O56" s="35">
        <f t="shared" si="2"/>
        <v>0.16428562378720263</v>
      </c>
      <c r="P56" s="29" t="str">
        <f t="shared" si="3"/>
        <v/>
      </c>
      <c r="R56" s="32">
        <v>180509519.34</v>
      </c>
    </row>
    <row r="57" spans="1:18" ht="16" thickBot="1" x14ac:dyDescent="0.25">
      <c r="A57" s="1">
        <v>8201</v>
      </c>
      <c r="B57" t="s">
        <v>11</v>
      </c>
      <c r="C57" s="6">
        <v>46906571.863200001</v>
      </c>
      <c r="D57" s="7">
        <v>31307431.966699999</v>
      </c>
      <c r="E57" s="8">
        <v>62505711.759599999</v>
      </c>
      <c r="F57" s="6">
        <v>46906571.863200001</v>
      </c>
      <c r="G57" s="7">
        <v>31307431.966699999</v>
      </c>
      <c r="H57" s="8">
        <v>62505711.759599999</v>
      </c>
      <c r="I57" s="38">
        <f t="shared" si="0"/>
        <v>0.28883281712988229</v>
      </c>
      <c r="J57" s="29" t="str">
        <f t="shared" si="1"/>
        <v/>
      </c>
      <c r="K57" s="13"/>
      <c r="L57" s="6">
        <v>65687168.682999998</v>
      </c>
      <c r="M57" s="7">
        <v>50088028.786499999</v>
      </c>
      <c r="N57" s="7">
        <v>81286308.579500005</v>
      </c>
      <c r="O57" s="37">
        <f t="shared" si="2"/>
        <v>4.0935236272790646E-3</v>
      </c>
      <c r="P57" s="29">
        <f t="shared" si="3"/>
        <v>1</v>
      </c>
      <c r="R57" s="33">
        <v>65957165.900000013</v>
      </c>
    </row>
    <row r="58" spans="1:18" x14ac:dyDescent="0.2">
      <c r="J58" s="29">
        <f>COUNT(J3:J57)</f>
        <v>16</v>
      </c>
      <c r="P58" s="29">
        <f>COUNT(P3:P57)</f>
        <v>28</v>
      </c>
    </row>
    <row r="59" spans="1:18" x14ac:dyDescent="0.2">
      <c r="J59" s="34"/>
    </row>
  </sheetData>
  <autoFilter ref="A2:R58" xr:uid="{00000000-0001-0000-0000-000000000000}"/>
  <mergeCells count="5">
    <mergeCell ref="C1:E1"/>
    <mergeCell ref="F1:H1"/>
    <mergeCell ref="L1:N1"/>
    <mergeCell ref="R1:R2"/>
    <mergeCell ref="K1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Георгий Мамарин</cp:lastModifiedBy>
  <dcterms:created xsi:type="dcterms:W3CDTF">2025-02-24T10:01:20Z</dcterms:created>
  <dcterms:modified xsi:type="dcterms:W3CDTF">2025-02-24T11:48:43Z</dcterms:modified>
</cp:coreProperties>
</file>